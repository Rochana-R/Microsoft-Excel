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usiness Analytics\"/>
    </mc:Choice>
  </mc:AlternateContent>
  <xr:revisionPtr revIDLastSave="0" documentId="13_ncr:1_{5031030B-8229-41D4-9F59-282C3D1E2A86}" xr6:coauthVersionLast="47" xr6:coauthVersionMax="47" xr10:uidLastSave="{00000000-0000-0000-0000-000000000000}"/>
  <bookViews>
    <workbookView xWindow="-110" yWindow="-110" windowWidth="19420" windowHeight="10300" xr2:uid="{3C67E793-B336-48DD-8356-7570B5757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B72" i="1"/>
  <c r="B71" i="1"/>
  <c r="B70" i="1"/>
  <c r="B69" i="1"/>
  <c r="B68" i="1"/>
  <c r="G53" i="1"/>
  <c r="F53" i="1"/>
  <c r="E53" i="1"/>
  <c r="E3" i="1"/>
  <c r="G17" i="1"/>
  <c r="G14" i="1"/>
  <c r="G16" i="1" s="1"/>
  <c r="G4" i="1"/>
  <c r="F3" i="1"/>
  <c r="B48" i="1"/>
  <c r="C36" i="1"/>
  <c r="F33" i="1"/>
  <c r="F31" i="1"/>
  <c r="E28" i="1"/>
  <c r="D23" i="1"/>
  <c r="D22" i="1"/>
  <c r="C22" i="1"/>
  <c r="D19" i="1"/>
  <c r="D21" i="1" s="1"/>
  <c r="C19" i="1"/>
  <c r="C21" i="1" s="1"/>
  <c r="H17" i="1"/>
  <c r="H16" i="1"/>
  <c r="H14" i="1"/>
  <c r="H15" i="1" s="1"/>
  <c r="H19" i="1" s="1"/>
  <c r="F9" i="1"/>
  <c r="G8" i="1"/>
  <c r="F8" i="1"/>
  <c r="G6" i="1"/>
  <c r="F6" i="1"/>
  <c r="E6" i="1"/>
  <c r="F4" i="1"/>
  <c r="E4" i="1"/>
  <c r="G3" i="1"/>
  <c r="G15" i="1" l="1"/>
  <c r="G19" i="1" s="1"/>
  <c r="C20" i="1"/>
  <c r="C23" i="1" s="1"/>
  <c r="D20" i="1"/>
</calcChain>
</file>

<file path=xl/sharedStrings.xml><?xml version="1.0" encoding="utf-8"?>
<sst xmlns="http://schemas.openxmlformats.org/spreadsheetml/2006/main" count="76" uniqueCount="45">
  <si>
    <t>Accounting and Finance formulas</t>
  </si>
  <si>
    <t>Cashflows</t>
  </si>
  <si>
    <t>Discount rate</t>
  </si>
  <si>
    <t>Reinvestment rate</t>
  </si>
  <si>
    <t>NPV</t>
  </si>
  <si>
    <t>IRR</t>
  </si>
  <si>
    <t>MIRR</t>
  </si>
  <si>
    <t>npv(rate, cashflows)</t>
  </si>
  <si>
    <t>irr(values)</t>
  </si>
  <si>
    <t>mirr(values, finance rate, reinvest rate)</t>
  </si>
  <si>
    <t>Compound Annual Growth Rate</t>
  </si>
  <si>
    <t>RATE</t>
  </si>
  <si>
    <t>FV</t>
  </si>
  <si>
    <t xml:space="preserve">Present value </t>
  </si>
  <si>
    <t>monthly payments</t>
  </si>
  <si>
    <t>PMT(rate,nper,amount)</t>
  </si>
  <si>
    <t>Number of periods</t>
  </si>
  <si>
    <t>Present Value</t>
  </si>
  <si>
    <t>pv(rate,nper,pmt)</t>
  </si>
  <si>
    <t>Loan amount</t>
  </si>
  <si>
    <t>Future Value</t>
  </si>
  <si>
    <t>fv(rate,nper,pmt)</t>
  </si>
  <si>
    <t>Term in years</t>
  </si>
  <si>
    <t>Effective Annual Interest Rate</t>
  </si>
  <si>
    <t>Monthly payments</t>
  </si>
  <si>
    <t>Interest in PMT</t>
  </si>
  <si>
    <t>ipmt(rate,per,nper,pv)</t>
  </si>
  <si>
    <t>Eff Ann Int Rate</t>
  </si>
  <si>
    <t xml:space="preserve">Issue_date </t>
  </si>
  <si>
    <t>1st Jan,2017</t>
  </si>
  <si>
    <t>accrint(issue, first_interest date, settlement date, rate, par, freq, basis, calc_method)</t>
  </si>
  <si>
    <t xml:space="preserve">First_interest_date </t>
  </si>
  <si>
    <t>31st March 2017</t>
  </si>
  <si>
    <t xml:space="preserve">Settlement_date </t>
  </si>
  <si>
    <t>15th Feb 2022</t>
  </si>
  <si>
    <t xml:space="preserve">Rate </t>
  </si>
  <si>
    <t xml:space="preserve">Par </t>
  </si>
  <si>
    <t xml:space="preserve">Frequency </t>
  </si>
  <si>
    <t>Basis – 3</t>
  </si>
  <si>
    <t xml:space="preserve">Calculation_method </t>
  </si>
  <si>
    <t>=ACCRINT</t>
  </si>
  <si>
    <t>Basis – 2</t>
  </si>
  <si>
    <t xml:space="preserve">Caculation_method </t>
  </si>
  <si>
    <t>effect(rate, nper)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</si>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</sst>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43" formatCode="_ * #,##0.00_ ;_ * \-#,##0.00_ ;_ * &quot;-&quot;??_ ;_ @_ "/>
    <numFmt numFmtId="164" formatCode="&quot;$&quot;#,##0.00_);[Red]\(&quot;$&quot;#,##0.00\)"/>
    <numFmt numFmtId="165" formatCode="[$-14009]yyyy/mm/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2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wrapText="1"/>
    </xf>
    <xf numFmtId="10" fontId="3" fillId="0" borderId="0" xfId="0" applyNumberFormat="1" applyFont="1"/>
    <xf numFmtId="0" fontId="3" fillId="0" borderId="0" xfId="0" applyFont="1" applyAlignment="1">
      <alignment wrapText="1"/>
    </xf>
    <xf numFmtId="10" fontId="3" fillId="0" borderId="0" xfId="2" applyNumberFormat="1" applyFont="1"/>
    <xf numFmtId="8" fontId="3" fillId="0" borderId="0" xfId="0" applyNumberFormat="1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4" fontId="3" fillId="0" borderId="0" xfId="0" applyNumberFormat="1" applyFont="1"/>
    <xf numFmtId="1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5" fillId="0" borderId="2" xfId="0" quotePrefix="1" applyFont="1" applyBorder="1" applyAlignment="1">
      <alignment vertical="center"/>
    </xf>
    <xf numFmtId="0" fontId="8" fillId="0" borderId="2" xfId="0" quotePrefix="1" applyFont="1" applyBorder="1" applyAlignment="1">
      <alignment vertical="center"/>
    </xf>
    <xf numFmtId="43" fontId="0" fillId="0" borderId="3" xfId="1" applyFont="1" applyBorder="1"/>
    <xf numFmtId="0" fontId="8" fillId="0" borderId="1" xfId="0" applyFont="1" applyBorder="1" applyAlignment="1">
      <alignment vertical="center"/>
    </xf>
    <xf numFmtId="165" fontId="0" fillId="0" borderId="1" xfId="0" applyNumberFormat="1" applyBorder="1" applyAlignment="1">
      <alignment horizontal="left"/>
    </xf>
    <xf numFmtId="165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8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291A-15DB-4DAC-908D-887EED776E2C}">
  <dimension ref="A1:J73"/>
  <sheetViews>
    <sheetView tabSelected="1" topLeftCell="A58" zoomScale="90" zoomScaleNormal="90" workbookViewId="0">
      <selection activeCell="F30" sqref="F30"/>
    </sheetView>
  </sheetViews>
  <sheetFormatPr defaultRowHeight="14.5" x14ac:dyDescent="0.35"/>
  <cols>
    <col min="1" max="1" width="23.6328125" bestFit="1" customWidth="1"/>
    <col min="2" max="2" width="20.26953125" bestFit="1" customWidth="1"/>
    <col min="3" max="3" width="18.7265625" bestFit="1" customWidth="1"/>
    <col min="4" max="4" width="18.36328125" bestFit="1" customWidth="1"/>
    <col min="5" max="5" width="64.54296875" customWidth="1"/>
    <col min="6" max="6" width="104.08984375" bestFit="1" customWidth="1"/>
    <col min="7" max="7" width="15.453125" bestFit="1" customWidth="1"/>
    <col min="8" max="8" width="17.7265625" bestFit="1" customWidth="1"/>
    <col min="10" max="10" width="48" bestFit="1" customWidth="1"/>
    <col min="14" max="14" width="16.36328125" customWidth="1"/>
  </cols>
  <sheetData>
    <row r="1" spans="1:10" ht="42" customHeight="1" x14ac:dyDescent="0.45">
      <c r="A1" s="33" t="s">
        <v>0</v>
      </c>
      <c r="B1" s="33"/>
      <c r="C1" s="33"/>
      <c r="D1" s="33"/>
      <c r="E1" s="33"/>
      <c r="F1" s="33"/>
      <c r="G1" s="33"/>
      <c r="J1" s="1"/>
    </row>
    <row r="2" spans="1:10" s="4" customFormat="1" ht="74.400000000000006" customHeight="1" x14ac:dyDescent="0.55000000000000004">
      <c r="A2" s="2" t="s">
        <v>1</v>
      </c>
      <c r="B2" s="3" t="s">
        <v>2</v>
      </c>
      <c r="C2" s="3" t="s">
        <v>3</v>
      </c>
      <c r="E2" s="4" t="s">
        <v>4</v>
      </c>
      <c r="F2" s="4" t="s">
        <v>5</v>
      </c>
      <c r="G2" s="4" t="s">
        <v>6</v>
      </c>
    </row>
    <row r="3" spans="1:10" s="2" customFormat="1" ht="21" x14ac:dyDescent="0.5">
      <c r="A3" s="5">
        <v>-50000</v>
      </c>
      <c r="B3" s="6">
        <v>0.05</v>
      </c>
      <c r="C3" s="6">
        <v>0.08</v>
      </c>
      <c r="E3" s="7">
        <f>NPV(B3,A3:A9)</f>
        <v>8896.4309278785113</v>
      </c>
      <c r="F3" s="6">
        <f>IRR(A3:A9,8%)</f>
        <v>0.10703609816042392</v>
      </c>
      <c r="G3" s="6">
        <f>MIRR(A3:A9,B3,C3)</f>
        <v>9.4324723562478452E-2</v>
      </c>
      <c r="H3" s="6"/>
      <c r="I3" s="6"/>
      <c r="J3" s="2" t="s">
        <v>7</v>
      </c>
    </row>
    <row r="4" spans="1:10" s="2" customFormat="1" ht="21" x14ac:dyDescent="0.5">
      <c r="A4" s="2">
        <v>12000</v>
      </c>
      <c r="E4" s="7">
        <f>NPV(B3,A3:A9)</f>
        <v>8896.4309278785113</v>
      </c>
      <c r="F4" s="6">
        <f>IRR(A3:A9)</f>
        <v>0.1070360981604237</v>
      </c>
      <c r="G4" s="6">
        <f>MIRR(A3:A9,B3,C3)</f>
        <v>9.4324723562478452E-2</v>
      </c>
      <c r="J4" s="2" t="s">
        <v>8</v>
      </c>
    </row>
    <row r="5" spans="1:10" s="2" customFormat="1" ht="21" x14ac:dyDescent="0.5">
      <c r="A5" s="2">
        <v>12000</v>
      </c>
      <c r="F5" s="6"/>
      <c r="J5" s="2" t="s">
        <v>9</v>
      </c>
    </row>
    <row r="6" spans="1:10" s="2" customFormat="1" ht="21" x14ac:dyDescent="0.5">
      <c r="A6" s="2">
        <v>12000</v>
      </c>
      <c r="E6" s="7">
        <f>NPV(B3,A3:A9)</f>
        <v>8896.4309278785113</v>
      </c>
      <c r="F6" s="6">
        <f>IRR(A3:A9)</f>
        <v>0.1070360981604237</v>
      </c>
      <c r="G6" s="6">
        <f>MIRR(A3:A9,B3,C3)</f>
        <v>9.4324723562478452E-2</v>
      </c>
    </row>
    <row r="7" spans="1:10" s="2" customFormat="1" ht="21" x14ac:dyDescent="0.5">
      <c r="A7" s="2">
        <v>12000</v>
      </c>
    </row>
    <row r="8" spans="1:10" s="2" customFormat="1" ht="21" x14ac:dyDescent="0.5">
      <c r="A8" s="2">
        <v>10000</v>
      </c>
      <c r="F8" s="6">
        <f>IRR(A3:A9,10)</f>
        <v>0.10703609816042414</v>
      </c>
      <c r="G8" s="6">
        <f>MIRR(A3:A9,B3,C3)</f>
        <v>9.4324723562478452E-2</v>
      </c>
    </row>
    <row r="9" spans="1:10" s="2" customFormat="1" ht="21" x14ac:dyDescent="0.5">
      <c r="A9" s="2">
        <v>12000</v>
      </c>
      <c r="F9" s="6">
        <f>IRR(A3:A9,15)</f>
        <v>0.10703609816042392</v>
      </c>
    </row>
    <row r="10" spans="1:10" s="2" customFormat="1" ht="21" x14ac:dyDescent="0.5"/>
    <row r="11" spans="1:10" s="2" customFormat="1" ht="21" x14ac:dyDescent="0.5"/>
    <row r="12" spans="1:10" s="2" customFormat="1" ht="38" x14ac:dyDescent="0.55000000000000004">
      <c r="A12" s="8" t="s">
        <v>10</v>
      </c>
      <c r="B12" s="4" t="s">
        <v>11</v>
      </c>
      <c r="C12" s="4" t="s">
        <v>12</v>
      </c>
      <c r="D12" s="4"/>
      <c r="E12" s="3" t="s">
        <v>13</v>
      </c>
      <c r="F12" s="4"/>
      <c r="G12" s="4"/>
    </row>
    <row r="13" spans="1:10" s="2" customFormat="1" ht="21" x14ac:dyDescent="0.5"/>
    <row r="14" spans="1:10" s="2" customFormat="1" ht="21" x14ac:dyDescent="0.5">
      <c r="A14" s="2" t="s">
        <v>11</v>
      </c>
      <c r="B14" s="9">
        <v>4.2500000000000003E-2</v>
      </c>
      <c r="E14" s="2" t="s">
        <v>14</v>
      </c>
      <c r="G14" s="7">
        <f>PMT(B14/12,B15,-B16)</f>
        <v>704.12312082574772</v>
      </c>
      <c r="H14" s="7">
        <f>PMT(B14/12,B15,-B16)</f>
        <v>704.12312082574772</v>
      </c>
      <c r="J14" s="2" t="s">
        <v>15</v>
      </c>
    </row>
    <row r="15" spans="1:10" s="2" customFormat="1" ht="42" x14ac:dyDescent="0.5">
      <c r="A15" s="10" t="s">
        <v>16</v>
      </c>
      <c r="B15" s="2">
        <v>60</v>
      </c>
      <c r="E15" s="2" t="s">
        <v>17</v>
      </c>
      <c r="G15" s="7">
        <f>PV(B14/12,B15,-G14)</f>
        <v>38000.00000000115</v>
      </c>
      <c r="H15" s="7">
        <f>PV(B14/12,B15,-H14)</f>
        <v>38000.00000000115</v>
      </c>
      <c r="J15" s="2" t="s">
        <v>18</v>
      </c>
    </row>
    <row r="16" spans="1:10" s="2" customFormat="1" ht="21" x14ac:dyDescent="0.5">
      <c r="A16" s="10" t="s">
        <v>19</v>
      </c>
      <c r="B16" s="2">
        <v>38000</v>
      </c>
      <c r="E16" s="2" t="s">
        <v>20</v>
      </c>
      <c r="G16" s="7">
        <f>FV(B14/12,B15,-G14)</f>
        <v>46979.472161522659</v>
      </c>
      <c r="H16" s="7">
        <f>FV(B14/12,B15,-H14)</f>
        <v>46979.472161522659</v>
      </c>
      <c r="J16" s="2" t="s">
        <v>21</v>
      </c>
    </row>
    <row r="17" spans="1:10" s="2" customFormat="1" ht="21" x14ac:dyDescent="0.5">
      <c r="A17" s="10" t="s">
        <v>22</v>
      </c>
      <c r="B17" s="2">
        <v>5</v>
      </c>
      <c r="E17" s="2" t="s">
        <v>23</v>
      </c>
      <c r="G17" s="11">
        <f>EFFECT(B14,B15)</f>
        <v>4.3400358318921306E-2</v>
      </c>
      <c r="H17" s="2">
        <f>EFFECT(B14,B15)</f>
        <v>4.3400358318921306E-2</v>
      </c>
      <c r="J17" s="2" t="s">
        <v>43</v>
      </c>
    </row>
    <row r="18" spans="1:10" s="2" customFormat="1" ht="21" x14ac:dyDescent="0.5">
      <c r="A18" s="10"/>
    </row>
    <row r="19" spans="1:10" s="2" customFormat="1" ht="21" x14ac:dyDescent="0.5">
      <c r="A19" s="2" t="s">
        <v>24</v>
      </c>
      <c r="C19" s="7">
        <f>PMT(B14/12,B15,-B16)</f>
        <v>704.12312082574772</v>
      </c>
      <c r="D19" s="12">
        <f>PMT(B14,B15,-B16)</f>
        <v>1759.8475773834314</v>
      </c>
      <c r="E19" s="2" t="s">
        <v>25</v>
      </c>
      <c r="G19" s="7">
        <f>IPMT(B14/12,B17,B15,-G15)</f>
        <v>126.47188791300488</v>
      </c>
      <c r="H19" s="7">
        <f>IPMT(B14/12,B17,B15,-H15)</f>
        <v>126.47188791300488</v>
      </c>
      <c r="J19" s="2" t="s">
        <v>26</v>
      </c>
    </row>
    <row r="20" spans="1:10" s="2" customFormat="1" ht="21" x14ac:dyDescent="0.5">
      <c r="A20" s="2" t="s">
        <v>17</v>
      </c>
      <c r="C20" s="7">
        <f>PV(B14/12,B15,C19)</f>
        <v>-38000.00000000115</v>
      </c>
      <c r="D20" s="12">
        <f>PV(B14,B15,D19)</f>
        <v>-38000</v>
      </c>
    </row>
    <row r="21" spans="1:10" ht="21" x14ac:dyDescent="0.5">
      <c r="A21" s="2" t="s">
        <v>20</v>
      </c>
      <c r="B21" s="2"/>
      <c r="C21" s="7">
        <f>FV(B14/12,B15,C19)</f>
        <v>-46979.472161522659</v>
      </c>
      <c r="D21" s="12">
        <f>FV(B14,B15,D19)</f>
        <v>-461686.75478461909</v>
      </c>
      <c r="E21" s="2"/>
      <c r="F21" s="2"/>
      <c r="G21" s="2"/>
      <c r="H21" s="2"/>
    </row>
    <row r="22" spans="1:10" ht="21" x14ac:dyDescent="0.5">
      <c r="A22" s="2" t="s">
        <v>27</v>
      </c>
      <c r="B22" s="2"/>
      <c r="C22" s="11">
        <f>EFFECT(B14,B15)</f>
        <v>4.3400358318921306E-2</v>
      </c>
      <c r="D22" s="2">
        <f>EFFECT(B14,B15)</f>
        <v>4.3400358318921306E-2</v>
      </c>
      <c r="E22" s="2"/>
      <c r="F22" s="2"/>
      <c r="G22" s="2"/>
      <c r="H22" s="2"/>
    </row>
    <row r="23" spans="1:10" ht="21" x14ac:dyDescent="0.5">
      <c r="A23" s="2" t="s">
        <v>25</v>
      </c>
      <c r="B23" s="2"/>
      <c r="C23" s="7">
        <f>IPMT(B14/12,B17,B15,C20)</f>
        <v>126.47188791300488</v>
      </c>
      <c r="D23" s="12">
        <f>IPMT(B14,B17,B15,B16)</f>
        <v>-1588.7611763948146</v>
      </c>
      <c r="E23" s="2"/>
      <c r="F23" s="2"/>
      <c r="G23" s="2"/>
      <c r="H23" s="2"/>
    </row>
    <row r="24" spans="1:10" ht="21" x14ac:dyDescent="0.5">
      <c r="B24" s="2"/>
      <c r="C24" s="2"/>
      <c r="D24" s="2"/>
      <c r="E24" s="2"/>
      <c r="F24" s="2"/>
      <c r="G24" s="2"/>
      <c r="H24" s="2"/>
    </row>
    <row r="25" spans="1:10" ht="21" x14ac:dyDescent="0.5">
      <c r="A25" s="2"/>
      <c r="B25" s="2"/>
      <c r="C25" s="2"/>
      <c r="D25" s="2"/>
      <c r="E25" s="2"/>
      <c r="F25" s="2"/>
      <c r="G25" s="2"/>
      <c r="H25" s="2"/>
    </row>
    <row r="26" spans="1:10" ht="21" x14ac:dyDescent="0.5">
      <c r="A26" s="13"/>
      <c r="B26" s="14" t="s">
        <v>28</v>
      </c>
      <c r="C26" s="15" t="s">
        <v>29</v>
      </c>
      <c r="D26" s="2"/>
      <c r="E26" s="2"/>
      <c r="F26" s="2" t="s">
        <v>30</v>
      </c>
      <c r="G26" s="2"/>
      <c r="H26" s="2"/>
      <c r="I26" s="2"/>
      <c r="J26" s="2"/>
    </row>
    <row r="27" spans="1:10" ht="21" x14ac:dyDescent="0.5">
      <c r="A27" s="13"/>
      <c r="B27" s="14" t="s">
        <v>31</v>
      </c>
      <c r="C27" s="16" t="s">
        <v>32</v>
      </c>
      <c r="D27" s="2"/>
      <c r="E27" s="2"/>
      <c r="F27" s="2"/>
      <c r="G27" s="2"/>
      <c r="H27" s="2"/>
      <c r="I27" s="2"/>
      <c r="J27" s="2"/>
    </row>
    <row r="28" spans="1:10" ht="21" x14ac:dyDescent="0.5">
      <c r="A28" s="13"/>
      <c r="B28" s="14" t="s">
        <v>33</v>
      </c>
      <c r="C28" s="16" t="s">
        <v>34</v>
      </c>
      <c r="D28" s="2"/>
      <c r="E28" s="17">
        <f>DATE(2017,1,1)</f>
        <v>42736</v>
      </c>
      <c r="F28" s="2"/>
      <c r="G28" s="2"/>
      <c r="H28" s="2"/>
      <c r="I28" s="2"/>
      <c r="J28" s="2"/>
    </row>
    <row r="29" spans="1:10" ht="21" x14ac:dyDescent="0.5">
      <c r="A29" s="13"/>
      <c r="B29" s="14" t="s">
        <v>35</v>
      </c>
      <c r="C29" s="18">
        <v>6.25E-2</v>
      </c>
      <c r="D29" s="2"/>
      <c r="E29" s="2"/>
      <c r="F29" s="2">
        <f>ACCRINT(DATE(2017,1,1),DATE(2017,3,31),DATE(2022,2,15),C29,C30,C31,C32,C33)</f>
        <v>1599.9571917808219</v>
      </c>
      <c r="G29" s="2"/>
      <c r="H29" s="2"/>
      <c r="I29" s="2"/>
    </row>
    <row r="30" spans="1:10" ht="21" x14ac:dyDescent="0.5">
      <c r="A30" s="13"/>
      <c r="B30" s="14" t="s">
        <v>36</v>
      </c>
      <c r="C30" s="16">
        <v>5000</v>
      </c>
      <c r="D30" s="2"/>
      <c r="E30" s="2"/>
      <c r="F30" s="2"/>
      <c r="G30" s="2"/>
      <c r="H30" s="2"/>
      <c r="I30" s="2"/>
      <c r="J30" s="2"/>
    </row>
    <row r="31" spans="1:10" ht="36" customHeight="1" x14ac:dyDescent="0.5">
      <c r="A31" s="13"/>
      <c r="B31" s="14" t="s">
        <v>37</v>
      </c>
      <c r="C31" s="19">
        <v>4</v>
      </c>
      <c r="D31" s="2"/>
      <c r="E31" s="2"/>
      <c r="F31" s="2">
        <f>ACCRINT(DATE(2017,3,31),DATE(2017,3,31),DATE(2022,2,15),C29,C30,C31,C32,C33)</f>
        <v>1523.7585616438357</v>
      </c>
      <c r="G31" s="2"/>
      <c r="H31" s="2"/>
      <c r="I31" s="2"/>
    </row>
    <row r="32" spans="1:10" ht="21" x14ac:dyDescent="0.5">
      <c r="A32" s="13"/>
      <c r="B32" s="14" t="s">
        <v>38</v>
      </c>
      <c r="C32" s="19">
        <v>3</v>
      </c>
      <c r="D32" s="2"/>
      <c r="E32" s="2"/>
      <c r="F32" s="2"/>
      <c r="G32" s="2"/>
      <c r="H32" s="2"/>
      <c r="I32" s="2"/>
    </row>
    <row r="33" spans="1:10" ht="21" x14ac:dyDescent="0.5">
      <c r="A33" s="13"/>
      <c r="B33" s="14" t="s">
        <v>39</v>
      </c>
      <c r="C33" s="19">
        <v>1</v>
      </c>
      <c r="D33" s="2"/>
      <c r="E33" s="2"/>
      <c r="F33" s="2">
        <f>ACCRINT(DATE(2017,1,1),DATE(2017,3,31),DATE(2022,2,15),C29,C30,C31,C32,1)</f>
        <v>1599.9571917808219</v>
      </c>
      <c r="G33" s="2"/>
      <c r="H33" s="2"/>
      <c r="I33" s="2"/>
      <c r="J33" s="2"/>
    </row>
    <row r="34" spans="1:10" ht="21" x14ac:dyDescent="0.5">
      <c r="A34" s="20"/>
      <c r="B34" s="21"/>
      <c r="D34" s="2"/>
      <c r="E34" s="2"/>
      <c r="F34" s="2"/>
      <c r="G34" s="2"/>
      <c r="H34" s="2"/>
      <c r="I34" s="2"/>
      <c r="J34" s="2"/>
    </row>
    <row r="35" spans="1:10" ht="21" x14ac:dyDescent="0.5">
      <c r="A35" s="22"/>
      <c r="D35" s="2"/>
      <c r="E35" s="2"/>
      <c r="F35" s="2"/>
      <c r="G35" s="2"/>
      <c r="H35" s="2"/>
      <c r="I35" s="2"/>
      <c r="J35" s="2"/>
    </row>
    <row r="36" spans="1:10" ht="21" x14ac:dyDescent="0.5">
      <c r="A36" s="23"/>
      <c r="B36" s="24" t="s">
        <v>40</v>
      </c>
      <c r="C36" s="25">
        <f>ACCRINT(DATE(2017,1,1),DATE(2017,3,31),DATE(2022,2,15),C29,C30,C31,C32,C33)</f>
        <v>1599.9571917808219</v>
      </c>
      <c r="D36" s="2"/>
      <c r="E36" s="2"/>
      <c r="F36" s="2"/>
      <c r="G36" s="2"/>
      <c r="H36" s="2"/>
      <c r="I36" s="2"/>
      <c r="J36" s="2"/>
    </row>
    <row r="37" spans="1:10" ht="21" x14ac:dyDescent="0.5">
      <c r="A37" s="22"/>
      <c r="B37" s="22"/>
      <c r="C37" s="2"/>
      <c r="D37" s="2"/>
      <c r="E37" s="2"/>
      <c r="F37" s="2"/>
      <c r="G37" s="2"/>
      <c r="H37" s="2"/>
      <c r="I37" s="2"/>
      <c r="J37" s="2"/>
    </row>
    <row r="38" spans="1:10" ht="21" x14ac:dyDescent="0.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21" x14ac:dyDescent="0.5">
      <c r="A39" s="26" t="s">
        <v>28</v>
      </c>
      <c r="B39" s="27">
        <v>42736</v>
      </c>
      <c r="C39" s="2"/>
      <c r="D39" s="2"/>
      <c r="E39" s="2"/>
      <c r="F39" s="2"/>
      <c r="G39" s="2"/>
      <c r="H39" s="2"/>
      <c r="I39" s="2"/>
      <c r="J39" s="2"/>
    </row>
    <row r="40" spans="1:10" ht="21" x14ac:dyDescent="0.5">
      <c r="A40" s="26" t="s">
        <v>31</v>
      </c>
      <c r="B40" s="28">
        <v>42825</v>
      </c>
      <c r="C40" s="2"/>
      <c r="D40" s="2"/>
      <c r="E40" s="2"/>
      <c r="F40" s="2"/>
      <c r="G40" s="2"/>
      <c r="H40" s="2"/>
      <c r="I40" s="2"/>
      <c r="J40" s="2"/>
    </row>
    <row r="41" spans="1:10" ht="21" x14ac:dyDescent="0.5">
      <c r="A41" s="26" t="s">
        <v>33</v>
      </c>
      <c r="B41" s="28">
        <v>44607</v>
      </c>
      <c r="C41" s="2"/>
      <c r="D41" s="2"/>
      <c r="E41" s="2"/>
      <c r="F41" s="2"/>
      <c r="G41" s="2"/>
      <c r="H41" s="2"/>
      <c r="I41" s="2"/>
      <c r="J41" s="2"/>
    </row>
    <row r="42" spans="1:10" ht="21" x14ac:dyDescent="0.5">
      <c r="A42" s="26" t="s">
        <v>35</v>
      </c>
      <c r="B42" s="29">
        <v>6.25E-2</v>
      </c>
      <c r="C42" s="2"/>
      <c r="D42" s="2"/>
      <c r="E42" s="2"/>
      <c r="F42" s="2"/>
      <c r="G42" s="2"/>
      <c r="H42" s="2"/>
      <c r="I42" s="2"/>
      <c r="J42" s="2"/>
    </row>
    <row r="43" spans="1:10" ht="21" x14ac:dyDescent="0.5">
      <c r="A43" s="26" t="s">
        <v>36</v>
      </c>
      <c r="B43" s="30">
        <v>10000</v>
      </c>
      <c r="C43" s="2"/>
      <c r="D43" s="2"/>
      <c r="E43" s="2"/>
      <c r="F43" s="2"/>
      <c r="G43" s="2"/>
      <c r="H43" s="2"/>
      <c r="I43" s="2"/>
      <c r="J43" s="2"/>
    </row>
    <row r="44" spans="1:10" ht="21" x14ac:dyDescent="0.5">
      <c r="A44" s="26" t="s">
        <v>37</v>
      </c>
      <c r="B44" s="31">
        <v>4</v>
      </c>
      <c r="C44" s="2"/>
      <c r="D44" s="2"/>
      <c r="E44" s="2"/>
      <c r="F44" s="2"/>
      <c r="G44" s="2"/>
      <c r="H44" s="2"/>
      <c r="I44" s="2"/>
      <c r="J44" s="2"/>
    </row>
    <row r="45" spans="1:10" ht="21" x14ac:dyDescent="0.5">
      <c r="A45" s="26" t="s">
        <v>41</v>
      </c>
      <c r="B45" s="31">
        <v>2</v>
      </c>
      <c r="C45" s="2"/>
      <c r="D45" s="2"/>
      <c r="E45" s="2"/>
      <c r="F45" s="2"/>
      <c r="G45" s="2"/>
      <c r="H45" s="2"/>
      <c r="I45" s="2"/>
      <c r="J45" s="2"/>
    </row>
    <row r="46" spans="1:10" ht="21" x14ac:dyDescent="0.5">
      <c r="A46" s="26" t="s">
        <v>42</v>
      </c>
      <c r="B46" s="31">
        <v>1</v>
      </c>
      <c r="C46" s="2"/>
      <c r="D46" s="2"/>
      <c r="E46" s="2"/>
      <c r="F46" s="2"/>
      <c r="G46" s="2"/>
      <c r="H46" s="2"/>
      <c r="I46" s="2"/>
      <c r="J46" s="2"/>
    </row>
    <row r="47" spans="1:10" ht="21" x14ac:dyDescent="0.5">
      <c r="A47" s="21"/>
      <c r="C47" s="2"/>
      <c r="D47" s="2"/>
      <c r="E47" s="2"/>
      <c r="F47" s="2"/>
      <c r="G47" s="2"/>
      <c r="H47" s="2"/>
      <c r="I47" s="2"/>
      <c r="J47" s="2"/>
    </row>
    <row r="48" spans="1:10" ht="15.5" x14ac:dyDescent="0.35">
      <c r="A48" s="24" t="s">
        <v>40</v>
      </c>
      <c r="B48" s="25">
        <f>ACCRINT(B39,B40,B41,B42,B43,B44,B45,B46)</f>
        <v>3203.125</v>
      </c>
    </row>
    <row r="49" spans="1:7" ht="15.5" x14ac:dyDescent="0.35">
      <c r="A49" s="24"/>
      <c r="B49" s="25"/>
    </row>
    <row r="50" spans="1:7" ht="30" customHeight="1" x14ac:dyDescent="0.35">
      <c r="A50" t="s">
        <v>44</v>
      </c>
    </row>
    <row r="52" spans="1:7" ht="47" x14ac:dyDescent="0.55000000000000004">
      <c r="A52" s="2" t="s">
        <v>1</v>
      </c>
      <c r="B52" s="3" t="s">
        <v>2</v>
      </c>
      <c r="C52" s="3" t="s">
        <v>3</v>
      </c>
      <c r="E52" s="4" t="s">
        <v>4</v>
      </c>
      <c r="F52" s="4" t="s">
        <v>5</v>
      </c>
      <c r="G52" s="4" t="s">
        <v>6</v>
      </c>
    </row>
    <row r="53" spans="1:7" ht="21" x14ac:dyDescent="0.5">
      <c r="A53" s="5">
        <v>-50000</v>
      </c>
      <c r="B53" s="6">
        <v>0.05</v>
      </c>
      <c r="C53" s="6">
        <v>0.08</v>
      </c>
      <c r="E53" s="32">
        <f>NPV(B53,A53:A59)</f>
        <v>8896.4309278785113</v>
      </c>
      <c r="F53" s="1">
        <f>IRR(A53:A59,C53)</f>
        <v>0.10703609816042392</v>
      </c>
      <c r="G53" s="1">
        <f>MIRR(A53:A59,B53,C53)</f>
        <v>9.4324723562478452E-2</v>
      </c>
    </row>
    <row r="54" spans="1:7" ht="21" x14ac:dyDescent="0.5">
      <c r="A54" s="2">
        <v>12000</v>
      </c>
      <c r="B54" s="2"/>
      <c r="C54" s="2"/>
    </row>
    <row r="55" spans="1:7" ht="21" x14ac:dyDescent="0.5">
      <c r="A55" s="2">
        <v>12000</v>
      </c>
      <c r="B55" s="2"/>
      <c r="C55" s="2"/>
    </row>
    <row r="56" spans="1:7" ht="21" x14ac:dyDescent="0.5">
      <c r="A56" s="2">
        <v>12000</v>
      </c>
      <c r="B56" s="2"/>
      <c r="C56" s="2"/>
    </row>
    <row r="57" spans="1:7" ht="21" x14ac:dyDescent="0.5">
      <c r="A57" s="2">
        <v>12000</v>
      </c>
      <c r="B57" s="2"/>
      <c r="C57" s="2"/>
    </row>
    <row r="58" spans="1:7" ht="21" x14ac:dyDescent="0.5">
      <c r="A58" s="2">
        <v>10000</v>
      </c>
      <c r="B58" s="2"/>
      <c r="C58" s="2"/>
    </row>
    <row r="59" spans="1:7" ht="21" x14ac:dyDescent="0.5">
      <c r="A59" s="2">
        <v>12000</v>
      </c>
      <c r="B59" s="2"/>
      <c r="C59" s="2"/>
    </row>
    <row r="63" spans="1:7" ht="21" x14ac:dyDescent="0.5">
      <c r="A63" s="2" t="s">
        <v>11</v>
      </c>
      <c r="B63" s="9">
        <v>4.2500000000000003E-2</v>
      </c>
    </row>
    <row r="64" spans="1:7" ht="42" x14ac:dyDescent="0.5">
      <c r="A64" s="10" t="s">
        <v>16</v>
      </c>
      <c r="B64" s="2">
        <v>60</v>
      </c>
    </row>
    <row r="65" spans="1:6" ht="21" x14ac:dyDescent="0.5">
      <c r="A65" s="10" t="s">
        <v>19</v>
      </c>
      <c r="B65" s="2">
        <v>38000</v>
      </c>
      <c r="F65" s="2" t="s">
        <v>15</v>
      </c>
    </row>
    <row r="66" spans="1:6" ht="21" x14ac:dyDescent="0.5">
      <c r="A66" s="10" t="s">
        <v>22</v>
      </c>
      <c r="B66" s="2">
        <v>5</v>
      </c>
      <c r="F66" s="2" t="s">
        <v>18</v>
      </c>
    </row>
    <row r="67" spans="1:6" ht="21" x14ac:dyDescent="0.5">
      <c r="F67" s="2" t="s">
        <v>21</v>
      </c>
    </row>
    <row r="68" spans="1:6" ht="21" x14ac:dyDescent="0.5">
      <c r="A68" s="2" t="s">
        <v>24</v>
      </c>
      <c r="B68" s="32">
        <f>PMT(B63/12,B64,-B65)</f>
        <v>704.12312082574772</v>
      </c>
      <c r="F68" s="2" t="s">
        <v>43</v>
      </c>
    </row>
    <row r="69" spans="1:6" ht="21" x14ac:dyDescent="0.5">
      <c r="A69" s="2" t="s">
        <v>17</v>
      </c>
      <c r="B69" s="32">
        <f>PV(B63/12,B64,-B68)</f>
        <v>38000.00000000115</v>
      </c>
      <c r="F69" s="2"/>
    </row>
    <row r="70" spans="1:6" ht="21" x14ac:dyDescent="0.5">
      <c r="A70" s="2" t="s">
        <v>20</v>
      </c>
      <c r="B70" s="32">
        <f>FV(B63/12,B64,-B68)</f>
        <v>46979.472161522659</v>
      </c>
      <c r="F70" s="2" t="s">
        <v>26</v>
      </c>
    </row>
    <row r="71" spans="1:6" ht="21" x14ac:dyDescent="0.5">
      <c r="A71" s="2" t="s">
        <v>27</v>
      </c>
      <c r="B71">
        <f>EFFECT(B63,B64)</f>
        <v>4.3400358318921306E-2</v>
      </c>
    </row>
    <row r="72" spans="1:6" ht="21" x14ac:dyDescent="0.5">
      <c r="A72" s="2" t="s">
        <v>25</v>
      </c>
      <c r="B72" s="32">
        <f>IPMT(B63/12,B66,B64,-B69)</f>
        <v>126.47188791300488</v>
      </c>
    </row>
    <row r="73" spans="1:6" ht="21" x14ac:dyDescent="0.5">
      <c r="A73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Nagini Raju</dc:creator>
  <cp:lastModifiedBy>rochanarbhat@gmail.com</cp:lastModifiedBy>
  <dcterms:created xsi:type="dcterms:W3CDTF">2025-10-14T05:42:56Z</dcterms:created>
  <dcterms:modified xsi:type="dcterms:W3CDTF">2026-07-24T19:23:30Z</dcterms:modified>
</cp:coreProperties>
</file>