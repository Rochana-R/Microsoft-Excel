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99B31F2-3B7B-40D2-AAE1-D7B0F2C23C65}" xr6:coauthVersionLast="47" xr6:coauthVersionMax="47" xr10:uidLastSave="{00000000-0000-0000-0000-000000000000}"/>
  <bookViews>
    <workbookView xWindow="-110" yWindow="-110" windowWidth="19420" windowHeight="10300" xr2:uid="{3FECC4EA-7B9E-44BF-8AF8-C2C3E0D51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" i="1"/>
  <c r="AC2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5" i="1"/>
  <c r="AB4" i="1"/>
  <c r="AB3" i="1"/>
  <c r="AB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" i="1"/>
  <c r="AA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" i="1"/>
  <c r="Y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" i="1"/>
  <c r="X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" i="1"/>
  <c r="W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" i="1"/>
  <c r="V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" i="1"/>
  <c r="U2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4" i="1"/>
  <c r="T3" i="1"/>
  <c r="T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" i="1"/>
  <c r="S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" i="1"/>
  <c r="R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" i="1"/>
  <c r="Q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" i="1"/>
  <c r="N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" i="1"/>
  <c r="M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4" i="1"/>
  <c r="L3" i="1"/>
  <c r="L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4" i="1"/>
  <c r="K3" i="1"/>
  <c r="K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" i="1"/>
  <c r="J3" i="1"/>
  <c r="J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4" i="1"/>
  <c r="I3" i="1"/>
  <c r="I2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<sst xmlns="http://schemas.openxmlformats.org/spreadsheetml/2006/main" count="59" uniqueCount="49">
  <si>
    <t>Rings</t>
  </si>
  <si>
    <t>studs</t>
  </si>
  <si>
    <t>watches</t>
  </si>
  <si>
    <t>bracelets</t>
  </si>
  <si>
    <t>art pieces</t>
  </si>
  <si>
    <t>necklaces</t>
  </si>
  <si>
    <t>chains</t>
  </si>
  <si>
    <t>nail pieces</t>
  </si>
  <si>
    <t>Coco rush</t>
  </si>
  <si>
    <t>N degree 5</t>
  </si>
  <si>
    <t>Camella</t>
  </si>
  <si>
    <t>Ultra</t>
  </si>
  <si>
    <t>Ruban</t>
  </si>
  <si>
    <t>Baroque</t>
  </si>
  <si>
    <t>J12</t>
  </si>
  <si>
    <t>Premiere</t>
  </si>
  <si>
    <t>Boyfriend</t>
  </si>
  <si>
    <t>Code dodo</t>
  </si>
  <si>
    <t>Monsieur de Chanel</t>
  </si>
  <si>
    <t>craft watches</t>
  </si>
  <si>
    <t>Products</t>
  </si>
  <si>
    <t>Rita</t>
  </si>
  <si>
    <t>Mona</t>
  </si>
  <si>
    <t>Lisa</t>
  </si>
  <si>
    <t>Elly</t>
  </si>
  <si>
    <t>Jenny</t>
  </si>
  <si>
    <t>Cathy</t>
  </si>
  <si>
    <t>Mean</t>
  </si>
  <si>
    <t>Median</t>
  </si>
  <si>
    <t>Mode</t>
  </si>
  <si>
    <t>Geometric mean</t>
  </si>
  <si>
    <t>Harmonic mean</t>
  </si>
  <si>
    <t>Max</t>
  </si>
  <si>
    <t>Min</t>
  </si>
  <si>
    <t>Range</t>
  </si>
  <si>
    <t>Skewness</t>
  </si>
  <si>
    <t>Kurtosis</t>
  </si>
  <si>
    <t>Sum</t>
  </si>
  <si>
    <t>St dev (sample)</t>
  </si>
  <si>
    <t>St dev (population)</t>
  </si>
  <si>
    <t>Variance (sample)</t>
  </si>
  <si>
    <t>Variance (pop)</t>
  </si>
  <si>
    <t>Quartile 0</t>
  </si>
  <si>
    <t>Quartile 1</t>
  </si>
  <si>
    <t>Quartile 2</t>
  </si>
  <si>
    <t>Quartile 3</t>
  </si>
  <si>
    <t>Quartile 4</t>
  </si>
  <si>
    <t>GM Square</t>
  </si>
  <si>
    <t>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</si>
</sst>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F128-306A-4C95-BC13-4321D51B7A69}">
  <dimension ref="A1:AC31"/>
  <sheetViews>
    <sheetView tabSelected="1" topLeftCell="O1" zoomScaleNormal="100" workbookViewId="0">
      <selection activeCell="AC3" sqref="AC3:AC31"/>
    </sheetView>
  </sheetViews>
  <sheetFormatPr defaultRowHeight="14.5" x14ac:dyDescent="0.35"/>
  <cols>
    <col min="1" max="1" width="17.7265625" bestFit="1" customWidth="1"/>
    <col min="2" max="2" width="4" bestFit="1" customWidth="1"/>
    <col min="3" max="3" width="5.7265625" bestFit="1" customWidth="1"/>
    <col min="4" max="5" width="4" bestFit="1" customWidth="1"/>
    <col min="6" max="7" width="5.54296875" bestFit="1" customWidth="1"/>
    <col min="8" max="8" width="5" bestFit="1" customWidth="1"/>
    <col min="9" max="9" width="5.6328125" bestFit="1" customWidth="1"/>
    <col min="10" max="10" width="7.1796875" bestFit="1" customWidth="1"/>
    <col min="11" max="11" width="5.7265625" bestFit="1" customWidth="1"/>
    <col min="12" max="12" width="14.7265625" bestFit="1" customWidth="1"/>
    <col min="13" max="13" width="14.1796875" bestFit="1" customWidth="1"/>
    <col min="14" max="14" width="13.6328125" bestFit="1" customWidth="1"/>
    <col min="15" max="15" width="16.7265625" bestFit="1" customWidth="1"/>
    <col min="16" max="16" width="15.81640625" bestFit="1" customWidth="1"/>
    <col min="17" max="17" width="13.08984375" bestFit="1" customWidth="1"/>
    <col min="18" max="18" width="4.453125" bestFit="1" customWidth="1"/>
    <col min="19" max="19" width="4.08984375" bestFit="1" customWidth="1"/>
    <col min="20" max="20" width="5.90625" bestFit="1" customWidth="1"/>
    <col min="21" max="21" width="8.81640625" bestFit="1" customWidth="1"/>
    <col min="22" max="22" width="7.453125" bestFit="1" customWidth="1"/>
    <col min="23" max="27" width="9" bestFit="1" customWidth="1"/>
    <col min="28" max="28" width="10.08984375" bestFit="1" customWidth="1"/>
  </cols>
  <sheetData>
    <row r="1" spans="1:29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37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38</v>
      </c>
      <c r="O1" t="s">
        <v>39</v>
      </c>
      <c r="P1" t="s">
        <v>40</v>
      </c>
      <c r="Q1" t="s">
        <v>41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</row>
    <row r="2" spans="1:29" x14ac:dyDescent="0.35">
      <c r="A2" t="s">
        <v>0</v>
      </c>
      <c r="B2">
        <v>971</v>
      </c>
      <c r="C2">
        <v>800</v>
      </c>
      <c r="D2">
        <v>823</v>
      </c>
      <c r="E2">
        <v>845</v>
      </c>
      <c r="F2">
        <v>562</v>
      </c>
      <c r="G2">
        <v>820</v>
      </c>
      <c r="H2">
        <f>SUM(B2:G2)</f>
        <v>4821</v>
      </c>
      <c r="I2">
        <f>AVERAGE(B2:G2)</f>
        <v>803.5</v>
      </c>
      <c r="J2">
        <f>MEDIAN(B2:G2)</f>
        <v>821.5</v>
      </c>
      <c r="K2" t="e">
        <f>MODE(B2:G2)</f>
        <v>#N/A</v>
      </c>
      <c r="L2">
        <f>GEOMEAN(B2:G2)</f>
        <v>793.14511698952811</v>
      </c>
      <c r="M2">
        <f>HARMEAN(B2:G2)</f>
        <v>781.5312164573744</v>
      </c>
      <c r="N2">
        <f>_xlfn.STDEV.S(B2:G2)</f>
        <v>133.24075952950733</v>
      </c>
      <c r="O2">
        <f>_xlfn.STDEV.P(B2:G2)</f>
        <v>121.63161595572099</v>
      </c>
      <c r="P2">
        <f>_xlfn.VAR.S(B2:G2)</f>
        <v>17753.099999999999</v>
      </c>
      <c r="Q2">
        <f>_xlfn.VAR.P(B2:G2)</f>
        <v>14794.25</v>
      </c>
      <c r="R2">
        <f>MAX(B2:G2)</f>
        <v>971</v>
      </c>
      <c r="S2">
        <f>MIN(B2:G2)</f>
        <v>562</v>
      </c>
      <c r="T2">
        <f>R2-S2</f>
        <v>409</v>
      </c>
      <c r="U2">
        <f>SKEW(B2:G2)</f>
        <v>-1.1797480790387587</v>
      </c>
      <c r="V2">
        <f>KURT(B2:G2)</f>
        <v>3.0600621249940811</v>
      </c>
      <c r="W2">
        <f>QUARTILE(B2:G2,0)</f>
        <v>562</v>
      </c>
      <c r="X2">
        <f>QUARTILE(B2:G2,1)</f>
        <v>805</v>
      </c>
      <c r="Y2">
        <f>QUARTILE(B2:G2,2)</f>
        <v>821.5</v>
      </c>
      <c r="Z2">
        <f>QUARTILE(B2:G2,3)</f>
        <v>839.5</v>
      </c>
      <c r="AA2">
        <f>QUARTILE(B2:G2,4)</f>
        <v>971</v>
      </c>
      <c r="AB2">
        <f>I2*M2</f>
        <v>627960.33242350037</v>
      </c>
      <c r="AC2">
        <f>(H2-I2)/N2</f>
        <v>30.152184768282485</v>
      </c>
    </row>
    <row r="3" spans="1:29" x14ac:dyDescent="0.35">
      <c r="A3" t="s">
        <v>1</v>
      </c>
      <c r="B3">
        <v>698</v>
      </c>
      <c r="C3">
        <v>500</v>
      </c>
      <c r="D3">
        <v>540</v>
      </c>
      <c r="E3">
        <v>540</v>
      </c>
      <c r="F3">
        <v>510</v>
      </c>
      <c r="G3">
        <v>747</v>
      </c>
      <c r="H3">
        <f>SUM(B3:G3)</f>
        <v>3535</v>
      </c>
      <c r="I3">
        <f>AVERAGE(B3:G3)</f>
        <v>589.16666666666663</v>
      </c>
      <c r="J3">
        <f>MEDIAN(B3:G3)</f>
        <v>540</v>
      </c>
      <c r="K3">
        <f>MODE(B3:G3)</f>
        <v>540</v>
      </c>
      <c r="L3">
        <f>GEOMEAN(B3:G3)</f>
        <v>581.76906019310525</v>
      </c>
      <c r="M3">
        <f>HARMEAN(B3:G3)</f>
        <v>574.94169188178341</v>
      </c>
      <c r="N3">
        <f>_xlfn.STDEV.S(B3:G3)</f>
        <v>105.64926249939775</v>
      </c>
      <c r="O3">
        <f>_xlfn.STDEV.P(B3:G3)</f>
        <v>96.444140424508021</v>
      </c>
      <c r="P3">
        <f>_xlfn.VAR.S(B3:G3)</f>
        <v>11161.766666666652</v>
      </c>
      <c r="Q3">
        <f>_xlfn.VAR.P(B3:G3)</f>
        <v>9301.4722222222226</v>
      </c>
      <c r="R3">
        <f>MAX(B3:G3)</f>
        <v>747</v>
      </c>
      <c r="S3">
        <f>MIN(B3:G3)</f>
        <v>500</v>
      </c>
      <c r="T3">
        <f>R3-S3</f>
        <v>247</v>
      </c>
      <c r="U3">
        <f>SKEW(B3:G3)</f>
        <v>0.9611669004215283</v>
      </c>
      <c r="V3">
        <f>KURT(B3:G3)</f>
        <v>-1.3333795770242052</v>
      </c>
      <c r="W3">
        <f>QUARTILE(B3:G3,0)</f>
        <v>500</v>
      </c>
      <c r="X3">
        <f>QUARTILE(B3:G3,1)</f>
        <v>517.5</v>
      </c>
      <c r="Y3">
        <f>QUARTILE(B3:G3,2)</f>
        <v>540</v>
      </c>
      <c r="Z3">
        <f>QUARTILE(B3:G3,3)</f>
        <v>658.5</v>
      </c>
      <c r="AA3">
        <f>QUARTILE(B3:G3,4)</f>
        <v>747</v>
      </c>
      <c r="AB3">
        <f>I3*M3</f>
        <v>338736.48013368406</v>
      </c>
      <c r="AC3">
        <f>(H3-I3)/N3</f>
        <v>27.883141478153963</v>
      </c>
    </row>
    <row r="4" spans="1:29" x14ac:dyDescent="0.35">
      <c r="A4" t="s">
        <v>2</v>
      </c>
      <c r="B4">
        <v>724</v>
      </c>
      <c r="C4">
        <v>592</v>
      </c>
      <c r="D4">
        <v>855</v>
      </c>
      <c r="E4">
        <v>958</v>
      </c>
      <c r="F4">
        <v>858</v>
      </c>
      <c r="G4">
        <v>504</v>
      </c>
      <c r="H4">
        <f>SUM(B4:G4)</f>
        <v>4491</v>
      </c>
      <c r="I4">
        <f>AVERAGE(B4:G4)</f>
        <v>748.5</v>
      </c>
      <c r="J4">
        <f>MEDIAN(B4:G4)</f>
        <v>789.5</v>
      </c>
      <c r="K4" t="e">
        <f>MODE(B4:G4)</f>
        <v>#N/A</v>
      </c>
      <c r="L4">
        <f>GEOMEAN(B4:G4)</f>
        <v>730.38462110931846</v>
      </c>
      <c r="M4">
        <f t="shared" ref="M4:M31" si="0">HARMEAN(B4:G4)</f>
        <v>711.45136085275374</v>
      </c>
      <c r="N4">
        <f t="shared" ref="N4:N31" si="1">_xlfn.STDEV.S(B4:G4)</f>
        <v>174.41072214746433</v>
      </c>
      <c r="O4">
        <f t="shared" ref="O4:O31" si="2">_xlfn.STDEV.P(B4:G4)</f>
        <v>159.2144779848868</v>
      </c>
      <c r="P4">
        <f t="shared" ref="P4:P31" si="3">_xlfn.VAR.S(B4:G4)</f>
        <v>30419.1</v>
      </c>
      <c r="Q4">
        <f t="shared" ref="Q4:Q31" si="4">_xlfn.VAR.P(B4:G4)</f>
        <v>25349.25</v>
      </c>
      <c r="R4">
        <f t="shared" ref="R4:R31" si="5">MAX(B4:G4)</f>
        <v>958</v>
      </c>
      <c r="S4">
        <f t="shared" ref="S4:S31" si="6">MIN(B4:G4)</f>
        <v>504</v>
      </c>
      <c r="T4">
        <f>R4-S4</f>
        <v>454</v>
      </c>
      <c r="U4">
        <f t="shared" ref="U4:U31" si="7">SKEW(B4:G4)</f>
        <v>-0.38157932249591681</v>
      </c>
      <c r="V4">
        <f t="shared" ref="V4:V31" si="8">KURT(B4:G4)</f>
        <v>-1.429110963433188</v>
      </c>
      <c r="W4">
        <f t="shared" ref="W4:W31" si="9">QUARTILE(B4:G4,0)</f>
        <v>504</v>
      </c>
      <c r="X4">
        <f t="shared" ref="X4:X31" si="10">QUARTILE(B4:G4,1)</f>
        <v>625</v>
      </c>
      <c r="Y4">
        <f t="shared" ref="Y4:Y31" si="11">QUARTILE(B4:G4,2)</f>
        <v>789.5</v>
      </c>
      <c r="Z4">
        <f t="shared" ref="Z4:Z31" si="12">QUARTILE(B4:G4,3)</f>
        <v>857.25</v>
      </c>
      <c r="AA4">
        <f t="shared" ref="AA4:AA31" si="13">QUARTILE(B4:G4,4)</f>
        <v>958</v>
      </c>
      <c r="AB4">
        <f>POWER(L4,2)</f>
        <v>533461.69475300272</v>
      </c>
      <c r="AC4">
        <f t="shared" ref="AC4:AC31" si="14">(H4-I4)/N4</f>
        <v>21.45796975048194</v>
      </c>
    </row>
    <row r="5" spans="1:29" x14ac:dyDescent="0.35">
      <c r="A5" t="s">
        <v>3</v>
      </c>
      <c r="B5">
        <v>887</v>
      </c>
      <c r="C5">
        <v>881</v>
      </c>
      <c r="D5">
        <v>501</v>
      </c>
      <c r="E5">
        <v>834</v>
      </c>
      <c r="F5">
        <v>849</v>
      </c>
      <c r="G5">
        <v>569</v>
      </c>
      <c r="H5">
        <f>SUM(B5:G5)</f>
        <v>4521</v>
      </c>
      <c r="I5">
        <f t="shared" ref="I5:I31" si="15">AVERAGE(B5:G5)</f>
        <v>753.5</v>
      </c>
      <c r="J5">
        <f t="shared" ref="J5:J31" si="16">MEDIAN(B5:G5)</f>
        <v>841.5</v>
      </c>
      <c r="K5" t="e">
        <f t="shared" ref="K5:K31" si="17">MODE(B5:G5)</f>
        <v>#N/A</v>
      </c>
      <c r="L5">
        <f t="shared" ref="L5:L31" si="18">GEOMEAN(B5:G5)</f>
        <v>735.05619741241981</v>
      </c>
      <c r="M5">
        <f t="shared" si="0"/>
        <v>714.89475415409413</v>
      </c>
      <c r="N5">
        <f t="shared" si="1"/>
        <v>171.74137532930146</v>
      </c>
      <c r="O5">
        <f t="shared" si="2"/>
        <v>156.77770887469941</v>
      </c>
      <c r="P5">
        <f t="shared" si="3"/>
        <v>29495.1</v>
      </c>
      <c r="Q5">
        <f t="shared" si="4"/>
        <v>24579.25</v>
      </c>
      <c r="R5">
        <f t="shared" si="5"/>
        <v>887</v>
      </c>
      <c r="S5">
        <f t="shared" si="6"/>
        <v>501</v>
      </c>
      <c r="T5">
        <f t="shared" ref="T5:T31" si="19">R5-S5</f>
        <v>386</v>
      </c>
      <c r="U5">
        <f t="shared" si="7"/>
        <v>-0.9792240576146849</v>
      </c>
      <c r="V5">
        <f t="shared" si="8"/>
        <v>-1.4779831073024372</v>
      </c>
      <c r="W5">
        <f t="shared" si="9"/>
        <v>501</v>
      </c>
      <c r="X5">
        <f t="shared" si="10"/>
        <v>635.25</v>
      </c>
      <c r="Y5">
        <f t="shared" si="11"/>
        <v>841.5</v>
      </c>
      <c r="Z5">
        <f t="shared" si="12"/>
        <v>873</v>
      </c>
      <c r="AA5">
        <f t="shared" si="13"/>
        <v>887</v>
      </c>
      <c r="AB5">
        <f>POWER(L5,2)</f>
        <v>540307.61335440632</v>
      </c>
      <c r="AC5">
        <f t="shared" si="14"/>
        <v>21.937055021110059</v>
      </c>
    </row>
    <row r="6" spans="1:29" x14ac:dyDescent="0.35">
      <c r="A6" t="s">
        <v>4</v>
      </c>
      <c r="B6">
        <v>500</v>
      </c>
      <c r="C6">
        <v>589</v>
      </c>
      <c r="D6">
        <v>537</v>
      </c>
      <c r="E6">
        <v>936</v>
      </c>
      <c r="F6">
        <v>878</v>
      </c>
      <c r="G6">
        <v>794</v>
      </c>
      <c r="H6">
        <f>SUM(B6:G6)</f>
        <v>4234</v>
      </c>
      <c r="I6">
        <f t="shared" si="15"/>
        <v>705.66666666666663</v>
      </c>
      <c r="J6">
        <f t="shared" si="16"/>
        <v>691.5</v>
      </c>
      <c r="K6" t="e">
        <f t="shared" si="17"/>
        <v>#N/A</v>
      </c>
      <c r="L6">
        <f t="shared" si="18"/>
        <v>684.87041920502645</v>
      </c>
      <c r="M6">
        <f t="shared" si="0"/>
        <v>664.69000131873645</v>
      </c>
      <c r="N6">
        <f t="shared" si="1"/>
        <v>187.03653831983391</v>
      </c>
      <c r="O6">
        <f t="shared" si="2"/>
        <v>170.74021852575399</v>
      </c>
      <c r="P6">
        <f t="shared" si="3"/>
        <v>34982.666666666701</v>
      </c>
      <c r="Q6">
        <f t="shared" si="4"/>
        <v>29152.222222222223</v>
      </c>
      <c r="R6">
        <f t="shared" si="5"/>
        <v>936</v>
      </c>
      <c r="S6">
        <f t="shared" si="6"/>
        <v>500</v>
      </c>
      <c r="T6">
        <f t="shared" si="19"/>
        <v>436</v>
      </c>
      <c r="U6">
        <f t="shared" si="7"/>
        <v>0.13487294716340212</v>
      </c>
      <c r="V6">
        <f t="shared" si="8"/>
        <v>-2.5083911440728914</v>
      </c>
      <c r="W6">
        <f t="shared" si="9"/>
        <v>500</v>
      </c>
      <c r="X6">
        <f t="shared" si="10"/>
        <v>550</v>
      </c>
      <c r="Y6">
        <f t="shared" si="11"/>
        <v>691.5</v>
      </c>
      <c r="Z6">
        <f t="shared" si="12"/>
        <v>857</v>
      </c>
      <c r="AA6">
        <f t="shared" si="13"/>
        <v>936</v>
      </c>
      <c r="AB6">
        <f t="shared" ref="AB6:AB31" si="20">POWER(L6,2)</f>
        <v>469047.49110206868</v>
      </c>
      <c r="AC6">
        <f t="shared" si="14"/>
        <v>18.864406735863859</v>
      </c>
    </row>
    <row r="7" spans="1:29" x14ac:dyDescent="0.35">
      <c r="A7" t="s">
        <v>5</v>
      </c>
      <c r="B7">
        <v>883</v>
      </c>
      <c r="C7">
        <v>562</v>
      </c>
      <c r="D7">
        <v>802</v>
      </c>
      <c r="E7">
        <v>909</v>
      </c>
      <c r="F7">
        <v>597</v>
      </c>
      <c r="G7">
        <v>693</v>
      </c>
      <c r="H7">
        <f t="shared" ref="H7:H31" si="21">SUM(B7:G7)</f>
        <v>4446</v>
      </c>
      <c r="I7">
        <f t="shared" si="15"/>
        <v>741</v>
      </c>
      <c r="J7">
        <f t="shared" si="16"/>
        <v>747.5</v>
      </c>
      <c r="K7" t="e">
        <f t="shared" si="17"/>
        <v>#N/A</v>
      </c>
      <c r="L7">
        <f t="shared" si="18"/>
        <v>728.65811517154623</v>
      </c>
      <c r="M7">
        <f t="shared" si="0"/>
        <v>716.25555477606304</v>
      </c>
      <c r="N7">
        <f t="shared" si="1"/>
        <v>146.41721210294915</v>
      </c>
      <c r="O7">
        <f t="shared" si="2"/>
        <v>133.66001645967279</v>
      </c>
      <c r="P7">
        <f t="shared" si="3"/>
        <v>21438</v>
      </c>
      <c r="Q7">
        <f t="shared" si="4"/>
        <v>17865</v>
      </c>
      <c r="R7">
        <f t="shared" si="5"/>
        <v>909</v>
      </c>
      <c r="S7">
        <f t="shared" si="6"/>
        <v>562</v>
      </c>
      <c r="T7">
        <f t="shared" si="19"/>
        <v>347</v>
      </c>
      <c r="U7">
        <f t="shared" si="7"/>
        <v>-9.557645868278393E-2</v>
      </c>
      <c r="V7">
        <f t="shared" si="8"/>
        <v>-2.1696921357215011</v>
      </c>
      <c r="W7">
        <f t="shared" si="9"/>
        <v>562</v>
      </c>
      <c r="X7">
        <f t="shared" si="10"/>
        <v>621</v>
      </c>
      <c r="Y7">
        <f t="shared" si="11"/>
        <v>747.5</v>
      </c>
      <c r="Z7">
        <f t="shared" si="12"/>
        <v>862.75</v>
      </c>
      <c r="AA7">
        <f t="shared" si="13"/>
        <v>909</v>
      </c>
      <c r="AB7">
        <f t="shared" si="20"/>
        <v>530942.6488053503</v>
      </c>
      <c r="AC7">
        <f t="shared" si="14"/>
        <v>25.3044020357042</v>
      </c>
    </row>
    <row r="8" spans="1:29" x14ac:dyDescent="0.35">
      <c r="A8" t="s">
        <v>6</v>
      </c>
      <c r="B8">
        <v>585</v>
      </c>
      <c r="C8">
        <v>688</v>
      </c>
      <c r="D8">
        <v>781</v>
      </c>
      <c r="E8">
        <v>534</v>
      </c>
      <c r="F8">
        <v>935</v>
      </c>
      <c r="G8">
        <v>983</v>
      </c>
      <c r="H8">
        <f t="shared" si="21"/>
        <v>4506</v>
      </c>
      <c r="I8">
        <f t="shared" si="15"/>
        <v>751</v>
      </c>
      <c r="J8">
        <f t="shared" si="16"/>
        <v>734.5</v>
      </c>
      <c r="K8" t="e">
        <f t="shared" si="17"/>
        <v>#N/A</v>
      </c>
      <c r="L8">
        <f t="shared" si="18"/>
        <v>732.34707949350536</v>
      </c>
      <c r="M8">
        <f t="shared" si="0"/>
        <v>714.05010298306388</v>
      </c>
      <c r="N8">
        <f t="shared" si="1"/>
        <v>182.86279009136879</v>
      </c>
      <c r="O8">
        <f t="shared" si="2"/>
        <v>166.93012510229144</v>
      </c>
      <c r="P8">
        <f t="shared" si="3"/>
        <v>33438.800000000003</v>
      </c>
      <c r="Q8">
        <f t="shared" si="4"/>
        <v>27865.666666666668</v>
      </c>
      <c r="R8">
        <f t="shared" si="5"/>
        <v>983</v>
      </c>
      <c r="S8">
        <f t="shared" si="6"/>
        <v>534</v>
      </c>
      <c r="T8">
        <f t="shared" si="19"/>
        <v>449</v>
      </c>
      <c r="U8">
        <f t="shared" si="7"/>
        <v>0.18157923902641818</v>
      </c>
      <c r="V8">
        <f t="shared" si="8"/>
        <v>-1.8449108133627616</v>
      </c>
      <c r="W8">
        <f t="shared" si="9"/>
        <v>534</v>
      </c>
      <c r="X8">
        <f t="shared" si="10"/>
        <v>610.75</v>
      </c>
      <c r="Y8">
        <f t="shared" si="11"/>
        <v>734.5</v>
      </c>
      <c r="Z8">
        <f t="shared" si="12"/>
        <v>896.5</v>
      </c>
      <c r="AA8">
        <f t="shared" si="13"/>
        <v>983</v>
      </c>
      <c r="AB8">
        <f t="shared" si="20"/>
        <v>536332.24484266667</v>
      </c>
      <c r="AC8">
        <f t="shared" si="14"/>
        <v>20.534522075944402</v>
      </c>
    </row>
    <row r="9" spans="1:29" x14ac:dyDescent="0.35">
      <c r="A9" t="s">
        <v>7</v>
      </c>
      <c r="B9">
        <v>534</v>
      </c>
      <c r="C9">
        <v>900</v>
      </c>
      <c r="D9">
        <v>876</v>
      </c>
      <c r="E9">
        <v>947</v>
      </c>
      <c r="F9">
        <v>796</v>
      </c>
      <c r="G9">
        <v>830</v>
      </c>
      <c r="H9">
        <f t="shared" si="21"/>
        <v>4883</v>
      </c>
      <c r="I9">
        <f t="shared" si="15"/>
        <v>813.83333333333337</v>
      </c>
      <c r="J9">
        <f t="shared" si="16"/>
        <v>853</v>
      </c>
      <c r="K9" t="e">
        <f t="shared" si="17"/>
        <v>#N/A</v>
      </c>
      <c r="L9">
        <f t="shared" si="18"/>
        <v>800.64163144057693</v>
      </c>
      <c r="M9">
        <f t="shared" si="0"/>
        <v>785.09474679788798</v>
      </c>
      <c r="N9">
        <f t="shared" si="1"/>
        <v>146.90734041111321</v>
      </c>
      <c r="O9">
        <f t="shared" si="2"/>
        <v>134.10744034376151</v>
      </c>
      <c r="P9">
        <f t="shared" si="3"/>
        <v>21581.766666666699</v>
      </c>
      <c r="Q9">
        <f t="shared" si="4"/>
        <v>17984.805555555555</v>
      </c>
      <c r="R9">
        <f t="shared" si="5"/>
        <v>947</v>
      </c>
      <c r="S9">
        <f t="shared" si="6"/>
        <v>534</v>
      </c>
      <c r="T9">
        <f t="shared" si="19"/>
        <v>413</v>
      </c>
      <c r="U9">
        <f t="shared" si="7"/>
        <v>-1.7668484250168641</v>
      </c>
      <c r="V9">
        <f t="shared" si="8"/>
        <v>3.5437251171119488</v>
      </c>
      <c r="W9">
        <f t="shared" si="9"/>
        <v>534</v>
      </c>
      <c r="X9">
        <f t="shared" si="10"/>
        <v>804.5</v>
      </c>
      <c r="Y9">
        <f t="shared" si="11"/>
        <v>853</v>
      </c>
      <c r="Z9">
        <f t="shared" si="12"/>
        <v>894</v>
      </c>
      <c r="AA9">
        <f t="shared" si="13"/>
        <v>947</v>
      </c>
      <c r="AB9">
        <f t="shared" si="20"/>
        <v>641027.0219958286</v>
      </c>
      <c r="AC9">
        <f t="shared" si="14"/>
        <v>27.698865524890021</v>
      </c>
    </row>
    <row r="10" spans="1:29" x14ac:dyDescent="0.35">
      <c r="A10" t="s">
        <v>8</v>
      </c>
      <c r="B10">
        <v>812</v>
      </c>
      <c r="C10">
        <v>770</v>
      </c>
      <c r="D10">
        <v>901</v>
      </c>
      <c r="E10">
        <v>965</v>
      </c>
      <c r="F10">
        <v>685</v>
      </c>
      <c r="G10">
        <v>563</v>
      </c>
      <c r="H10">
        <f t="shared" si="21"/>
        <v>4696</v>
      </c>
      <c r="I10">
        <f t="shared" si="15"/>
        <v>782.66666666666663</v>
      </c>
      <c r="J10">
        <f t="shared" si="16"/>
        <v>791</v>
      </c>
      <c r="K10" t="e">
        <f t="shared" si="17"/>
        <v>#N/A</v>
      </c>
      <c r="L10">
        <f t="shared" si="18"/>
        <v>770.75491736999606</v>
      </c>
      <c r="M10">
        <f t="shared" si="0"/>
        <v>758.30067342457642</v>
      </c>
      <c r="N10">
        <f t="shared" si="1"/>
        <v>145.64431560025506</v>
      </c>
      <c r="O10">
        <f t="shared" si="2"/>
        <v>132.954461711102</v>
      </c>
      <c r="P10">
        <f t="shared" si="3"/>
        <v>21212.266666666699</v>
      </c>
      <c r="Q10">
        <f t="shared" si="4"/>
        <v>17676.888888888891</v>
      </c>
      <c r="R10">
        <f t="shared" si="5"/>
        <v>965</v>
      </c>
      <c r="S10">
        <f t="shared" si="6"/>
        <v>563</v>
      </c>
      <c r="T10">
        <f t="shared" si="19"/>
        <v>402</v>
      </c>
      <c r="U10">
        <f t="shared" si="7"/>
        <v>-0.36796290043223984</v>
      </c>
      <c r="V10">
        <f t="shared" si="8"/>
        <v>-0.46050945177117608</v>
      </c>
      <c r="W10">
        <f t="shared" si="9"/>
        <v>563</v>
      </c>
      <c r="X10">
        <f t="shared" si="10"/>
        <v>706.25</v>
      </c>
      <c r="Y10">
        <f t="shared" si="11"/>
        <v>791</v>
      </c>
      <c r="Z10">
        <f t="shared" si="12"/>
        <v>878.75</v>
      </c>
      <c r="AA10">
        <f t="shared" si="13"/>
        <v>965</v>
      </c>
      <c r="AB10">
        <f t="shared" si="20"/>
        <v>594063.14265002951</v>
      </c>
      <c r="AC10">
        <f t="shared" si="14"/>
        <v>26.869111349832046</v>
      </c>
    </row>
    <row r="11" spans="1:29" x14ac:dyDescent="0.35">
      <c r="A11" t="s">
        <v>9</v>
      </c>
      <c r="B11">
        <v>500</v>
      </c>
      <c r="C11">
        <v>504</v>
      </c>
      <c r="D11">
        <v>673</v>
      </c>
      <c r="E11">
        <v>848</v>
      </c>
      <c r="F11">
        <v>855</v>
      </c>
      <c r="G11">
        <v>652</v>
      </c>
      <c r="H11">
        <f t="shared" si="21"/>
        <v>4032</v>
      </c>
      <c r="I11">
        <f t="shared" si="15"/>
        <v>672</v>
      </c>
      <c r="J11">
        <f t="shared" si="16"/>
        <v>662.5</v>
      </c>
      <c r="K11" t="e">
        <f t="shared" si="17"/>
        <v>#N/A</v>
      </c>
      <c r="L11">
        <f t="shared" si="18"/>
        <v>656.65541197910511</v>
      </c>
      <c r="M11">
        <f t="shared" si="0"/>
        <v>641.53356681394894</v>
      </c>
      <c r="N11">
        <f t="shared" si="1"/>
        <v>156.63588350055679</v>
      </c>
      <c r="O11">
        <f t="shared" si="2"/>
        <v>142.98834451334369</v>
      </c>
      <c r="P11">
        <f t="shared" si="3"/>
        <v>24534.799999999999</v>
      </c>
      <c r="Q11">
        <f t="shared" si="4"/>
        <v>20445.666666666668</v>
      </c>
      <c r="R11">
        <f t="shared" si="5"/>
        <v>855</v>
      </c>
      <c r="S11">
        <f t="shared" si="6"/>
        <v>500</v>
      </c>
      <c r="T11">
        <f t="shared" si="19"/>
        <v>355</v>
      </c>
      <c r="U11">
        <f t="shared" si="7"/>
        <v>0.13600080922258037</v>
      </c>
      <c r="V11">
        <f t="shared" si="8"/>
        <v>-1.8857387298838333</v>
      </c>
      <c r="W11">
        <f t="shared" si="9"/>
        <v>500</v>
      </c>
      <c r="X11">
        <f t="shared" si="10"/>
        <v>541</v>
      </c>
      <c r="Y11">
        <f t="shared" si="11"/>
        <v>662.5</v>
      </c>
      <c r="Z11">
        <f t="shared" si="12"/>
        <v>804.25</v>
      </c>
      <c r="AA11">
        <f t="shared" si="13"/>
        <v>855</v>
      </c>
      <c r="AB11">
        <f t="shared" si="20"/>
        <v>431196.33008144825</v>
      </c>
      <c r="AC11">
        <f t="shared" si="14"/>
        <v>21.451023385634723</v>
      </c>
    </row>
    <row r="12" spans="1:29" x14ac:dyDescent="0.35">
      <c r="A12" t="s">
        <v>10</v>
      </c>
      <c r="B12">
        <v>759</v>
      </c>
      <c r="C12">
        <v>865</v>
      </c>
      <c r="D12">
        <v>838</v>
      </c>
      <c r="E12">
        <v>514</v>
      </c>
      <c r="F12">
        <v>900</v>
      </c>
      <c r="G12">
        <v>837</v>
      </c>
      <c r="H12">
        <f t="shared" si="21"/>
        <v>4713</v>
      </c>
      <c r="I12">
        <f t="shared" si="15"/>
        <v>785.5</v>
      </c>
      <c r="J12">
        <f t="shared" si="16"/>
        <v>837.5</v>
      </c>
      <c r="K12" t="e">
        <f t="shared" si="17"/>
        <v>#N/A</v>
      </c>
      <c r="L12">
        <f t="shared" si="18"/>
        <v>772.80898857777731</v>
      </c>
      <c r="M12">
        <f t="shared" si="0"/>
        <v>757.73942006591221</v>
      </c>
      <c r="N12">
        <f t="shared" si="1"/>
        <v>140.89251222119648</v>
      </c>
      <c r="O12">
        <f t="shared" si="2"/>
        <v>128.61667854520269</v>
      </c>
      <c r="P12">
        <f t="shared" si="3"/>
        <v>19850.7</v>
      </c>
      <c r="Q12">
        <f t="shared" si="4"/>
        <v>16542.25</v>
      </c>
      <c r="R12">
        <f t="shared" si="5"/>
        <v>900</v>
      </c>
      <c r="S12">
        <f t="shared" si="6"/>
        <v>514</v>
      </c>
      <c r="T12">
        <f t="shared" si="19"/>
        <v>386</v>
      </c>
      <c r="U12">
        <f t="shared" si="7"/>
        <v>-1.903587621835469</v>
      </c>
      <c r="V12">
        <f t="shared" si="8"/>
        <v>3.8053438372939166</v>
      </c>
      <c r="W12">
        <f t="shared" si="9"/>
        <v>514</v>
      </c>
      <c r="X12">
        <f t="shared" si="10"/>
        <v>778.5</v>
      </c>
      <c r="Y12">
        <f t="shared" si="11"/>
        <v>837.5</v>
      </c>
      <c r="Z12">
        <f t="shared" si="12"/>
        <v>858.25</v>
      </c>
      <c r="AA12">
        <f t="shared" si="13"/>
        <v>900</v>
      </c>
      <c r="AB12">
        <f t="shared" si="20"/>
        <v>597233.73282660719</v>
      </c>
      <c r="AC12">
        <f t="shared" si="14"/>
        <v>27.875860385213073</v>
      </c>
    </row>
    <row r="13" spans="1:29" x14ac:dyDescent="0.35">
      <c r="A13" t="s">
        <v>11</v>
      </c>
      <c r="B13">
        <v>608</v>
      </c>
      <c r="C13">
        <v>875</v>
      </c>
      <c r="D13">
        <v>971</v>
      </c>
      <c r="E13">
        <v>921</v>
      </c>
      <c r="F13">
        <v>571</v>
      </c>
      <c r="G13">
        <v>667</v>
      </c>
      <c r="H13">
        <f t="shared" si="21"/>
        <v>4613</v>
      </c>
      <c r="I13">
        <f t="shared" si="15"/>
        <v>768.83333333333337</v>
      </c>
      <c r="J13">
        <f t="shared" si="16"/>
        <v>771</v>
      </c>
      <c r="K13" t="e">
        <f t="shared" si="17"/>
        <v>#N/A</v>
      </c>
      <c r="L13">
        <f t="shared" si="18"/>
        <v>752.24401153474423</v>
      </c>
      <c r="M13">
        <f t="shared" si="0"/>
        <v>735.85319542531249</v>
      </c>
      <c r="N13">
        <f t="shared" si="1"/>
        <v>173.59310662197015</v>
      </c>
      <c r="O13">
        <f t="shared" si="2"/>
        <v>158.46810054042072</v>
      </c>
      <c r="P13">
        <f t="shared" si="3"/>
        <v>30134.566666666698</v>
      </c>
      <c r="Q13">
        <f t="shared" si="4"/>
        <v>25112.138888888891</v>
      </c>
      <c r="R13">
        <f t="shared" si="5"/>
        <v>971</v>
      </c>
      <c r="S13">
        <f t="shared" si="6"/>
        <v>571</v>
      </c>
      <c r="T13">
        <f t="shared" si="19"/>
        <v>400</v>
      </c>
      <c r="U13">
        <f t="shared" si="7"/>
        <v>1.3584449304099272E-3</v>
      </c>
      <c r="V13">
        <f t="shared" si="8"/>
        <v>-2.6716556370861624</v>
      </c>
      <c r="W13">
        <f t="shared" si="9"/>
        <v>571</v>
      </c>
      <c r="X13">
        <f t="shared" si="10"/>
        <v>622.75</v>
      </c>
      <c r="Y13">
        <f t="shared" si="11"/>
        <v>771</v>
      </c>
      <c r="Z13">
        <f t="shared" si="12"/>
        <v>909.5</v>
      </c>
      <c r="AA13">
        <f t="shared" si="13"/>
        <v>971</v>
      </c>
      <c r="AB13">
        <f t="shared" si="20"/>
        <v>565871.05288988445</v>
      </c>
      <c r="AC13">
        <f t="shared" si="14"/>
        <v>22.144696534742149</v>
      </c>
    </row>
    <row r="14" spans="1:29" x14ac:dyDescent="0.35">
      <c r="A14" t="s">
        <v>12</v>
      </c>
      <c r="B14">
        <v>559</v>
      </c>
      <c r="C14">
        <v>713</v>
      </c>
      <c r="D14">
        <v>571</v>
      </c>
      <c r="E14">
        <v>813</v>
      </c>
      <c r="F14">
        <v>518</v>
      </c>
      <c r="G14">
        <v>878</v>
      </c>
      <c r="H14">
        <f t="shared" si="21"/>
        <v>4052</v>
      </c>
      <c r="I14">
        <f t="shared" si="15"/>
        <v>675.33333333333337</v>
      </c>
      <c r="J14">
        <f t="shared" si="16"/>
        <v>642</v>
      </c>
      <c r="K14" t="e">
        <f t="shared" si="17"/>
        <v>#N/A</v>
      </c>
      <c r="L14">
        <f t="shared" si="18"/>
        <v>661.97569545221688</v>
      </c>
      <c r="M14">
        <f t="shared" si="0"/>
        <v>649.19515238670147</v>
      </c>
      <c r="N14">
        <f t="shared" si="1"/>
        <v>148.73959347351564</v>
      </c>
      <c r="O14">
        <f t="shared" si="2"/>
        <v>135.78005089932108</v>
      </c>
      <c r="P14">
        <f t="shared" si="3"/>
        <v>22123.466666666696</v>
      </c>
      <c r="Q14">
        <f t="shared" si="4"/>
        <v>18436.222222222223</v>
      </c>
      <c r="R14">
        <f t="shared" si="5"/>
        <v>878</v>
      </c>
      <c r="S14">
        <f t="shared" si="6"/>
        <v>518</v>
      </c>
      <c r="T14">
        <f t="shared" si="19"/>
        <v>360</v>
      </c>
      <c r="U14">
        <f t="shared" si="7"/>
        <v>0.39950646554833946</v>
      </c>
      <c r="V14">
        <f t="shared" si="8"/>
        <v>-2.0128716764538321</v>
      </c>
      <c r="W14">
        <f t="shared" si="9"/>
        <v>518</v>
      </c>
      <c r="X14">
        <f t="shared" si="10"/>
        <v>562</v>
      </c>
      <c r="Y14">
        <f t="shared" si="11"/>
        <v>642</v>
      </c>
      <c r="Z14">
        <f t="shared" si="12"/>
        <v>788</v>
      </c>
      <c r="AA14">
        <f t="shared" si="13"/>
        <v>878</v>
      </c>
      <c r="AB14">
        <f t="shared" si="20"/>
        <v>438211.82136944617</v>
      </c>
      <c r="AC14">
        <f t="shared" si="14"/>
        <v>22.701868331164366</v>
      </c>
    </row>
    <row r="15" spans="1:29" x14ac:dyDescent="0.35">
      <c r="A15" t="s">
        <v>13</v>
      </c>
      <c r="B15">
        <v>801</v>
      </c>
      <c r="C15">
        <v>717</v>
      </c>
      <c r="D15">
        <v>712</v>
      </c>
      <c r="E15">
        <v>582</v>
      </c>
      <c r="F15">
        <v>656</v>
      </c>
      <c r="G15">
        <v>609</v>
      </c>
      <c r="H15">
        <f t="shared" si="21"/>
        <v>4077</v>
      </c>
      <c r="I15">
        <f t="shared" si="15"/>
        <v>679.5</v>
      </c>
      <c r="J15">
        <f t="shared" si="16"/>
        <v>684</v>
      </c>
      <c r="K15" t="e">
        <f t="shared" si="17"/>
        <v>#N/A</v>
      </c>
      <c r="L15">
        <f t="shared" si="18"/>
        <v>675.5839089606576</v>
      </c>
      <c r="M15">
        <f t="shared" si="0"/>
        <v>671.72149035129064</v>
      </c>
      <c r="N15">
        <f t="shared" si="1"/>
        <v>80.316249912455447</v>
      </c>
      <c r="O15">
        <f t="shared" si="2"/>
        <v>73.318369685456958</v>
      </c>
      <c r="P15">
        <f t="shared" si="3"/>
        <v>6450.7</v>
      </c>
      <c r="Q15">
        <f t="shared" si="4"/>
        <v>5375.583333333333</v>
      </c>
      <c r="R15">
        <f t="shared" si="5"/>
        <v>801</v>
      </c>
      <c r="S15">
        <f t="shared" si="6"/>
        <v>582</v>
      </c>
      <c r="T15">
        <f t="shared" si="19"/>
        <v>219</v>
      </c>
      <c r="U15">
        <f t="shared" si="7"/>
        <v>0.34188796788938181</v>
      </c>
      <c r="V15">
        <f t="shared" si="8"/>
        <v>-0.5910861150831952</v>
      </c>
      <c r="W15">
        <f t="shared" si="9"/>
        <v>582</v>
      </c>
      <c r="X15">
        <f t="shared" si="10"/>
        <v>620.75</v>
      </c>
      <c r="Y15">
        <f t="shared" si="11"/>
        <v>684</v>
      </c>
      <c r="Z15">
        <f t="shared" si="12"/>
        <v>715.75</v>
      </c>
      <c r="AA15">
        <f t="shared" si="13"/>
        <v>801</v>
      </c>
      <c r="AB15">
        <f t="shared" si="20"/>
        <v>456413.61804656207</v>
      </c>
      <c r="AC15">
        <f t="shared" si="14"/>
        <v>42.301526823068414</v>
      </c>
    </row>
    <row r="16" spans="1:29" x14ac:dyDescent="0.35">
      <c r="A16" t="s">
        <v>14</v>
      </c>
      <c r="B16">
        <v>500</v>
      </c>
      <c r="C16">
        <v>670</v>
      </c>
      <c r="D16">
        <v>545</v>
      </c>
      <c r="E16">
        <v>502</v>
      </c>
      <c r="F16">
        <v>670</v>
      </c>
      <c r="G16">
        <v>880</v>
      </c>
      <c r="H16">
        <f t="shared" si="21"/>
        <v>3767</v>
      </c>
      <c r="I16">
        <f t="shared" si="15"/>
        <v>627.83333333333337</v>
      </c>
      <c r="J16">
        <f t="shared" si="16"/>
        <v>607.5</v>
      </c>
      <c r="K16">
        <f t="shared" si="17"/>
        <v>670</v>
      </c>
      <c r="L16">
        <f t="shared" si="18"/>
        <v>614.87063177200923</v>
      </c>
      <c r="M16">
        <f t="shared" si="0"/>
        <v>603.1161490931421</v>
      </c>
      <c r="N16">
        <f t="shared" si="1"/>
        <v>145.72634170480879</v>
      </c>
      <c r="O16">
        <f t="shared" si="2"/>
        <v>133.0293409573826</v>
      </c>
      <c r="P16">
        <f t="shared" si="3"/>
        <v>21236.166666666697</v>
      </c>
      <c r="Q16">
        <f t="shared" si="4"/>
        <v>17696.805555555555</v>
      </c>
      <c r="R16">
        <f t="shared" si="5"/>
        <v>880</v>
      </c>
      <c r="S16">
        <f t="shared" si="6"/>
        <v>500</v>
      </c>
      <c r="T16">
        <f t="shared" si="19"/>
        <v>380</v>
      </c>
      <c r="U16">
        <f t="shared" si="7"/>
        <v>1.1182094005309748</v>
      </c>
      <c r="V16">
        <f t="shared" si="8"/>
        <v>0.91274294542430123</v>
      </c>
      <c r="W16">
        <f t="shared" si="9"/>
        <v>500</v>
      </c>
      <c r="X16">
        <f t="shared" si="10"/>
        <v>512.75</v>
      </c>
      <c r="Y16">
        <f t="shared" si="11"/>
        <v>607.5</v>
      </c>
      <c r="Z16">
        <f t="shared" si="12"/>
        <v>670</v>
      </c>
      <c r="AA16">
        <f t="shared" si="13"/>
        <v>880</v>
      </c>
      <c r="AB16">
        <f t="shared" si="20"/>
        <v>378065.89381570974</v>
      </c>
      <c r="AC16">
        <f t="shared" si="14"/>
        <v>21.541518368899517</v>
      </c>
    </row>
    <row r="17" spans="1:29" x14ac:dyDescent="0.35">
      <c r="A17" t="s">
        <v>15</v>
      </c>
      <c r="B17">
        <v>645</v>
      </c>
      <c r="C17">
        <v>550</v>
      </c>
      <c r="D17">
        <v>867</v>
      </c>
      <c r="E17">
        <v>641</v>
      </c>
      <c r="F17">
        <v>922</v>
      </c>
      <c r="G17">
        <v>814</v>
      </c>
      <c r="H17">
        <f t="shared" si="21"/>
        <v>4439</v>
      </c>
      <c r="I17">
        <f t="shared" si="15"/>
        <v>739.83333333333337</v>
      </c>
      <c r="J17">
        <f t="shared" si="16"/>
        <v>729.5</v>
      </c>
      <c r="K17" t="e">
        <f t="shared" si="17"/>
        <v>#N/A</v>
      </c>
      <c r="L17">
        <f t="shared" si="18"/>
        <v>727.26464623895924</v>
      </c>
      <c r="M17">
        <f t="shared" si="0"/>
        <v>714.6997056178202</v>
      </c>
      <c r="N17">
        <f t="shared" si="1"/>
        <v>148.0910755807611</v>
      </c>
      <c r="O17">
        <f t="shared" si="2"/>
        <v>135.18803776797543</v>
      </c>
      <c r="P17">
        <f t="shared" si="3"/>
        <v>21930.966666666696</v>
      </c>
      <c r="Q17">
        <f t="shared" si="4"/>
        <v>18275.805555555555</v>
      </c>
      <c r="R17">
        <f t="shared" si="5"/>
        <v>922</v>
      </c>
      <c r="S17">
        <f t="shared" si="6"/>
        <v>550</v>
      </c>
      <c r="T17">
        <f t="shared" si="19"/>
        <v>372</v>
      </c>
      <c r="U17">
        <f t="shared" si="7"/>
        <v>-1.3825277744563083E-2</v>
      </c>
      <c r="V17">
        <f t="shared" si="8"/>
        <v>-2.0760095063540449</v>
      </c>
      <c r="W17">
        <f t="shared" si="9"/>
        <v>550</v>
      </c>
      <c r="X17">
        <f t="shared" si="10"/>
        <v>642</v>
      </c>
      <c r="Y17">
        <f t="shared" si="11"/>
        <v>729.5</v>
      </c>
      <c r="Z17">
        <f t="shared" si="12"/>
        <v>853.75</v>
      </c>
      <c r="AA17">
        <f t="shared" si="13"/>
        <v>922</v>
      </c>
      <c r="AB17">
        <f t="shared" si="20"/>
        <v>528913.86566907854</v>
      </c>
      <c r="AC17">
        <f t="shared" si="14"/>
        <v>24.978997904903022</v>
      </c>
    </row>
    <row r="18" spans="1:29" x14ac:dyDescent="0.35">
      <c r="A18" t="s">
        <v>16</v>
      </c>
      <c r="B18">
        <v>909</v>
      </c>
      <c r="C18">
        <v>519</v>
      </c>
      <c r="D18">
        <v>558</v>
      </c>
      <c r="E18">
        <v>987</v>
      </c>
      <c r="F18">
        <v>959</v>
      </c>
      <c r="G18">
        <v>963</v>
      </c>
      <c r="H18">
        <f t="shared" si="21"/>
        <v>4895</v>
      </c>
      <c r="I18">
        <f t="shared" si="15"/>
        <v>815.83333333333337</v>
      </c>
      <c r="J18">
        <f t="shared" si="16"/>
        <v>934</v>
      </c>
      <c r="K18" t="e">
        <f t="shared" si="17"/>
        <v>#N/A</v>
      </c>
      <c r="L18">
        <f t="shared" si="18"/>
        <v>788.29344366318776</v>
      </c>
      <c r="M18">
        <f t="shared" si="0"/>
        <v>758.21213185135787</v>
      </c>
      <c r="N18">
        <f t="shared" si="1"/>
        <v>216.66602564007746</v>
      </c>
      <c r="O18">
        <f t="shared" si="2"/>
        <v>197.78811614677178</v>
      </c>
      <c r="P18">
        <f t="shared" si="3"/>
        <v>46944.166666666701</v>
      </c>
      <c r="Q18">
        <f t="shared" si="4"/>
        <v>39120.138888888891</v>
      </c>
      <c r="R18">
        <f t="shared" si="5"/>
        <v>987</v>
      </c>
      <c r="S18">
        <f t="shared" si="6"/>
        <v>519</v>
      </c>
      <c r="T18">
        <f t="shared" si="19"/>
        <v>468</v>
      </c>
      <c r="U18">
        <f t="shared" si="7"/>
        <v>-0.92463744706579298</v>
      </c>
      <c r="V18">
        <f t="shared" si="8"/>
        <v>-1.8012632046920585</v>
      </c>
      <c r="W18">
        <f t="shared" si="9"/>
        <v>519</v>
      </c>
      <c r="X18">
        <f t="shared" si="10"/>
        <v>645.75</v>
      </c>
      <c r="Y18">
        <f t="shared" si="11"/>
        <v>934</v>
      </c>
      <c r="Z18">
        <f t="shared" si="12"/>
        <v>962</v>
      </c>
      <c r="AA18">
        <f t="shared" si="13"/>
        <v>987</v>
      </c>
      <c r="AB18">
        <f t="shared" si="20"/>
        <v>621406.55332236737</v>
      </c>
      <c r="AC18">
        <f t="shared" si="14"/>
        <v>18.826978778126112</v>
      </c>
    </row>
    <row r="19" spans="1:29" x14ac:dyDescent="0.35">
      <c r="A19" t="s">
        <v>17</v>
      </c>
      <c r="B19">
        <v>519</v>
      </c>
      <c r="C19">
        <v>805</v>
      </c>
      <c r="D19">
        <v>697</v>
      </c>
      <c r="E19">
        <v>767</v>
      </c>
      <c r="F19">
        <v>881</v>
      </c>
      <c r="G19">
        <v>843</v>
      </c>
      <c r="H19">
        <f t="shared" si="21"/>
        <v>4512</v>
      </c>
      <c r="I19">
        <f t="shared" si="15"/>
        <v>752</v>
      </c>
      <c r="J19">
        <f t="shared" si="16"/>
        <v>786</v>
      </c>
      <c r="K19" t="e">
        <f t="shared" si="17"/>
        <v>#N/A</v>
      </c>
      <c r="L19">
        <f t="shared" si="18"/>
        <v>741.25188460317554</v>
      </c>
      <c r="M19">
        <f t="shared" si="0"/>
        <v>729.14349799277511</v>
      </c>
      <c r="N19">
        <f t="shared" si="1"/>
        <v>130.59096446538712</v>
      </c>
      <c r="O19">
        <f t="shared" si="2"/>
        <v>119.2126950734135</v>
      </c>
      <c r="P19">
        <f t="shared" si="3"/>
        <v>17054</v>
      </c>
      <c r="Q19">
        <f t="shared" si="4"/>
        <v>14211.666666666666</v>
      </c>
      <c r="R19">
        <f t="shared" si="5"/>
        <v>881</v>
      </c>
      <c r="S19">
        <f t="shared" si="6"/>
        <v>519</v>
      </c>
      <c r="T19">
        <f t="shared" si="19"/>
        <v>362</v>
      </c>
      <c r="U19">
        <f t="shared" si="7"/>
        <v>-1.315146255326231</v>
      </c>
      <c r="V19">
        <f t="shared" si="8"/>
        <v>1.7163326960000074</v>
      </c>
      <c r="W19">
        <f t="shared" si="9"/>
        <v>519</v>
      </c>
      <c r="X19">
        <f t="shared" si="10"/>
        <v>714.5</v>
      </c>
      <c r="Y19">
        <f t="shared" si="11"/>
        <v>786</v>
      </c>
      <c r="Z19">
        <f t="shared" si="12"/>
        <v>833.5</v>
      </c>
      <c r="AA19">
        <f t="shared" si="13"/>
        <v>881</v>
      </c>
      <c r="AB19">
        <f t="shared" si="20"/>
        <v>549454.35642775951</v>
      </c>
      <c r="AC19">
        <f t="shared" si="14"/>
        <v>28.79219106308523</v>
      </c>
    </row>
    <row r="20" spans="1:29" x14ac:dyDescent="0.35">
      <c r="A20" t="s">
        <v>18</v>
      </c>
      <c r="B20">
        <v>955</v>
      </c>
      <c r="C20">
        <v>669</v>
      </c>
      <c r="D20">
        <v>556</v>
      </c>
      <c r="E20">
        <v>500</v>
      </c>
      <c r="F20">
        <v>556</v>
      </c>
      <c r="G20">
        <v>671</v>
      </c>
      <c r="H20">
        <f t="shared" si="21"/>
        <v>3907</v>
      </c>
      <c r="I20">
        <f t="shared" si="15"/>
        <v>651.16666666666663</v>
      </c>
      <c r="J20">
        <f t="shared" si="16"/>
        <v>612.5</v>
      </c>
      <c r="K20">
        <f t="shared" si="17"/>
        <v>556</v>
      </c>
      <c r="L20">
        <f t="shared" si="18"/>
        <v>636.12910461510785</v>
      </c>
      <c r="M20">
        <f t="shared" si="0"/>
        <v>623.09669936018895</v>
      </c>
      <c r="N20">
        <f t="shared" si="1"/>
        <v>163.70145590881805</v>
      </c>
      <c r="O20">
        <f t="shared" si="2"/>
        <v>149.43830016282826</v>
      </c>
      <c r="P20">
        <f t="shared" si="3"/>
        <v>26798.166666666697</v>
      </c>
      <c r="Q20">
        <f t="shared" si="4"/>
        <v>22331.805555555555</v>
      </c>
      <c r="R20">
        <f t="shared" si="5"/>
        <v>955</v>
      </c>
      <c r="S20">
        <f t="shared" si="6"/>
        <v>500</v>
      </c>
      <c r="T20">
        <f t="shared" si="19"/>
        <v>455</v>
      </c>
      <c r="U20">
        <f t="shared" si="7"/>
        <v>1.5649049646891824</v>
      </c>
      <c r="V20">
        <f t="shared" si="8"/>
        <v>2.725865408376297</v>
      </c>
      <c r="W20">
        <f t="shared" si="9"/>
        <v>500</v>
      </c>
      <c r="X20">
        <f t="shared" si="10"/>
        <v>556</v>
      </c>
      <c r="Y20">
        <f t="shared" si="11"/>
        <v>612.5</v>
      </c>
      <c r="Z20">
        <f t="shared" si="12"/>
        <v>670.5</v>
      </c>
      <c r="AA20">
        <f t="shared" si="13"/>
        <v>955</v>
      </c>
      <c r="AB20">
        <f t="shared" si="20"/>
        <v>404660.2377384188</v>
      </c>
      <c r="AC20">
        <f t="shared" si="14"/>
        <v>19.888847751890719</v>
      </c>
    </row>
    <row r="21" spans="1:29" x14ac:dyDescent="0.35">
      <c r="A21" t="s">
        <v>19</v>
      </c>
      <c r="B21">
        <v>774</v>
      </c>
      <c r="C21">
        <v>905</v>
      </c>
      <c r="D21">
        <v>660</v>
      </c>
      <c r="E21">
        <v>891</v>
      </c>
      <c r="F21">
        <v>774</v>
      </c>
      <c r="G21">
        <v>867</v>
      </c>
      <c r="H21">
        <f t="shared" si="21"/>
        <v>4871</v>
      </c>
      <c r="I21">
        <f t="shared" si="15"/>
        <v>811.83333333333337</v>
      </c>
      <c r="J21">
        <f t="shared" si="16"/>
        <v>820.5</v>
      </c>
      <c r="K21">
        <f t="shared" si="17"/>
        <v>774</v>
      </c>
      <c r="L21">
        <f t="shared" si="18"/>
        <v>807.10221578434084</v>
      </c>
      <c r="M21">
        <f t="shared" si="0"/>
        <v>802.15617310181085</v>
      </c>
      <c r="N21">
        <f t="shared" si="1"/>
        <v>93.70894656683906</v>
      </c>
      <c r="O21">
        <f t="shared" si="2"/>
        <v>85.544173124506585</v>
      </c>
      <c r="P21">
        <f t="shared" si="3"/>
        <v>8781.3666666666977</v>
      </c>
      <c r="Q21">
        <f t="shared" si="4"/>
        <v>7317.8055555555557</v>
      </c>
      <c r="R21">
        <f t="shared" si="5"/>
        <v>905</v>
      </c>
      <c r="S21">
        <f t="shared" si="6"/>
        <v>660</v>
      </c>
      <c r="T21">
        <f t="shared" si="19"/>
        <v>245</v>
      </c>
      <c r="U21">
        <f t="shared" si="7"/>
        <v>-0.77865355854200324</v>
      </c>
      <c r="V21">
        <f t="shared" si="8"/>
        <v>-0.26383109191686493</v>
      </c>
      <c r="W21">
        <f t="shared" si="9"/>
        <v>660</v>
      </c>
      <c r="X21">
        <f t="shared" si="10"/>
        <v>774</v>
      </c>
      <c r="Y21">
        <f t="shared" si="11"/>
        <v>820.5</v>
      </c>
      <c r="Z21">
        <f t="shared" si="12"/>
        <v>885</v>
      </c>
      <c r="AA21">
        <f t="shared" si="13"/>
        <v>905</v>
      </c>
      <c r="AB21">
        <f t="shared" si="20"/>
        <v>651413.98672399274</v>
      </c>
      <c r="AC21">
        <f t="shared" si="14"/>
        <v>43.316746323377096</v>
      </c>
    </row>
    <row r="22" spans="1:29" x14ac:dyDescent="0.35">
      <c r="A22" t="s">
        <v>3</v>
      </c>
      <c r="B22">
        <v>769</v>
      </c>
      <c r="C22">
        <v>698</v>
      </c>
      <c r="D22">
        <v>932</v>
      </c>
      <c r="E22">
        <v>949</v>
      </c>
      <c r="F22">
        <v>564</v>
      </c>
      <c r="G22">
        <v>836</v>
      </c>
      <c r="H22">
        <f t="shared" si="21"/>
        <v>4748</v>
      </c>
      <c r="I22">
        <f t="shared" si="15"/>
        <v>791.33333333333337</v>
      </c>
      <c r="J22">
        <f t="shared" si="16"/>
        <v>802.5</v>
      </c>
      <c r="K22" t="e">
        <f t="shared" si="17"/>
        <v>#N/A</v>
      </c>
      <c r="L22">
        <f t="shared" si="18"/>
        <v>779.21662780884731</v>
      </c>
      <c r="M22">
        <f t="shared" si="0"/>
        <v>766.38346592460516</v>
      </c>
      <c r="N22">
        <f t="shared" si="1"/>
        <v>146.65015058521658</v>
      </c>
      <c r="O22">
        <f t="shared" si="2"/>
        <v>133.87265922842084</v>
      </c>
      <c r="P22">
        <f t="shared" si="3"/>
        <v>21506.266666666699</v>
      </c>
      <c r="Q22">
        <f t="shared" si="4"/>
        <v>17921.888888888891</v>
      </c>
      <c r="R22">
        <f t="shared" si="5"/>
        <v>949</v>
      </c>
      <c r="S22">
        <f t="shared" si="6"/>
        <v>564</v>
      </c>
      <c r="T22">
        <f t="shared" si="19"/>
        <v>385</v>
      </c>
      <c r="U22">
        <f t="shared" si="7"/>
        <v>-0.54988743508060101</v>
      </c>
      <c r="V22">
        <f t="shared" si="8"/>
        <v>-0.55871841082546059</v>
      </c>
      <c r="W22">
        <f t="shared" si="9"/>
        <v>564</v>
      </c>
      <c r="X22">
        <f t="shared" si="10"/>
        <v>715.75</v>
      </c>
      <c r="Y22">
        <f t="shared" si="11"/>
        <v>802.5</v>
      </c>
      <c r="Z22">
        <f t="shared" si="12"/>
        <v>908</v>
      </c>
      <c r="AA22">
        <f t="shared" si="13"/>
        <v>949</v>
      </c>
      <c r="AB22">
        <f t="shared" si="20"/>
        <v>607178.55305379163</v>
      </c>
      <c r="AC22">
        <f t="shared" si="14"/>
        <v>26.980310970546849</v>
      </c>
    </row>
    <row r="23" spans="1:29" x14ac:dyDescent="0.35">
      <c r="A23" t="s">
        <v>4</v>
      </c>
      <c r="B23">
        <v>958</v>
      </c>
      <c r="C23">
        <v>976</v>
      </c>
      <c r="D23">
        <v>935</v>
      </c>
      <c r="E23">
        <v>761</v>
      </c>
      <c r="F23">
        <v>826</v>
      </c>
      <c r="G23">
        <v>578</v>
      </c>
      <c r="H23">
        <f t="shared" si="21"/>
        <v>5034</v>
      </c>
      <c r="I23">
        <f t="shared" si="15"/>
        <v>839</v>
      </c>
      <c r="J23">
        <f t="shared" si="16"/>
        <v>880.5</v>
      </c>
      <c r="K23" t="e">
        <f t="shared" si="17"/>
        <v>#N/A</v>
      </c>
      <c r="L23">
        <f t="shared" si="18"/>
        <v>826.01242486829744</v>
      </c>
      <c r="M23">
        <f t="shared" si="0"/>
        <v>811.60396475104596</v>
      </c>
      <c r="N23">
        <f t="shared" si="1"/>
        <v>152.65647709809105</v>
      </c>
      <c r="O23">
        <f t="shared" si="2"/>
        <v>139.35566009315875</v>
      </c>
      <c r="P23">
        <f t="shared" si="3"/>
        <v>23304</v>
      </c>
      <c r="Q23">
        <f t="shared" si="4"/>
        <v>19420</v>
      </c>
      <c r="R23">
        <f t="shared" si="5"/>
        <v>976</v>
      </c>
      <c r="S23">
        <f t="shared" si="6"/>
        <v>578</v>
      </c>
      <c r="T23">
        <f t="shared" si="19"/>
        <v>398</v>
      </c>
      <c r="U23">
        <f t="shared" si="7"/>
        <v>-1.1059781769123553</v>
      </c>
      <c r="V23">
        <f t="shared" si="8"/>
        <v>0.60111823600161696</v>
      </c>
      <c r="W23">
        <f t="shared" si="9"/>
        <v>578</v>
      </c>
      <c r="X23">
        <f t="shared" si="10"/>
        <v>777.25</v>
      </c>
      <c r="Y23">
        <f t="shared" si="11"/>
        <v>880.5</v>
      </c>
      <c r="Z23">
        <f t="shared" si="12"/>
        <v>952.25</v>
      </c>
      <c r="AA23">
        <f t="shared" si="13"/>
        <v>976</v>
      </c>
      <c r="AB23">
        <f t="shared" si="20"/>
        <v>682296.52603680477</v>
      </c>
      <c r="AC23">
        <f t="shared" si="14"/>
        <v>27.480000061212326</v>
      </c>
    </row>
    <row r="24" spans="1:29" x14ac:dyDescent="0.35">
      <c r="A24" t="s">
        <v>16</v>
      </c>
      <c r="B24">
        <v>963</v>
      </c>
      <c r="C24">
        <v>594</v>
      </c>
      <c r="D24">
        <v>596</v>
      </c>
      <c r="E24">
        <v>856</v>
      </c>
      <c r="F24">
        <v>811</v>
      </c>
      <c r="G24">
        <v>687</v>
      </c>
      <c r="H24">
        <f t="shared" si="21"/>
        <v>4507</v>
      </c>
      <c r="I24">
        <f t="shared" si="15"/>
        <v>751.16666666666663</v>
      </c>
      <c r="J24">
        <f t="shared" si="16"/>
        <v>749</v>
      </c>
      <c r="K24" t="e">
        <f t="shared" si="17"/>
        <v>#N/A</v>
      </c>
      <c r="L24">
        <f t="shared" si="18"/>
        <v>738.78554807499791</v>
      </c>
      <c r="M24">
        <f t="shared" si="0"/>
        <v>726.6870061733988</v>
      </c>
      <c r="N24">
        <f t="shared" si="1"/>
        <v>149.89251704693834</v>
      </c>
      <c r="O24">
        <f t="shared" si="2"/>
        <v>136.83252131305952</v>
      </c>
      <c r="P24">
        <f t="shared" si="3"/>
        <v>22467.766666666699</v>
      </c>
      <c r="Q24">
        <f t="shared" si="4"/>
        <v>18723.138888888891</v>
      </c>
      <c r="R24">
        <f t="shared" si="5"/>
        <v>963</v>
      </c>
      <c r="S24">
        <f t="shared" si="6"/>
        <v>594</v>
      </c>
      <c r="T24">
        <f t="shared" si="19"/>
        <v>369</v>
      </c>
      <c r="U24">
        <f t="shared" si="7"/>
        <v>0.26632067123251008</v>
      </c>
      <c r="V24">
        <f t="shared" si="8"/>
        <v>-1.5990361152385315</v>
      </c>
      <c r="W24">
        <f t="shared" si="9"/>
        <v>594</v>
      </c>
      <c r="X24">
        <f t="shared" si="10"/>
        <v>618.75</v>
      </c>
      <c r="Y24">
        <f t="shared" si="11"/>
        <v>749</v>
      </c>
      <c r="Z24">
        <f t="shared" si="12"/>
        <v>844.75</v>
      </c>
      <c r="AA24">
        <f t="shared" si="13"/>
        <v>963</v>
      </c>
      <c r="AB24">
        <f t="shared" si="20"/>
        <v>545804.08604447509</v>
      </c>
      <c r="AC24">
        <f t="shared" si="14"/>
        <v>25.056843445741904</v>
      </c>
    </row>
    <row r="25" spans="1:29" x14ac:dyDescent="0.35">
      <c r="A25" t="s">
        <v>12</v>
      </c>
      <c r="B25">
        <v>667</v>
      </c>
      <c r="C25">
        <v>581</v>
      </c>
      <c r="D25">
        <v>654</v>
      </c>
      <c r="E25">
        <v>612</v>
      </c>
      <c r="F25">
        <v>683</v>
      </c>
      <c r="G25">
        <v>783</v>
      </c>
      <c r="H25">
        <f t="shared" si="21"/>
        <v>3980</v>
      </c>
      <c r="I25">
        <f t="shared" si="15"/>
        <v>663.33333333333337</v>
      </c>
      <c r="J25">
        <f t="shared" si="16"/>
        <v>660.5</v>
      </c>
      <c r="K25" t="e">
        <f t="shared" si="17"/>
        <v>#N/A</v>
      </c>
      <c r="L25">
        <f t="shared" si="18"/>
        <v>660.39270482413826</v>
      </c>
      <c r="M25">
        <f t="shared" si="0"/>
        <v>657.55386596025824</v>
      </c>
      <c r="N25">
        <f t="shared" si="1"/>
        <v>69.60076627930664</v>
      </c>
      <c r="O25">
        <f t="shared" si="2"/>
        <v>63.536516184701924</v>
      </c>
      <c r="P25">
        <f t="shared" si="3"/>
        <v>4844.2666666666673</v>
      </c>
      <c r="Q25">
        <f t="shared" si="4"/>
        <v>4036.8888888888891</v>
      </c>
      <c r="R25">
        <f t="shared" si="5"/>
        <v>783</v>
      </c>
      <c r="S25">
        <f t="shared" si="6"/>
        <v>581</v>
      </c>
      <c r="T25">
        <f t="shared" si="19"/>
        <v>202</v>
      </c>
      <c r="U25">
        <f t="shared" si="7"/>
        <v>0.91388083884811377</v>
      </c>
      <c r="V25">
        <f t="shared" si="8"/>
        <v>1.4494771591946014</v>
      </c>
      <c r="W25">
        <f t="shared" si="9"/>
        <v>581</v>
      </c>
      <c r="X25">
        <f t="shared" si="10"/>
        <v>622.5</v>
      </c>
      <c r="Y25">
        <f t="shared" si="11"/>
        <v>660.5</v>
      </c>
      <c r="Z25">
        <f t="shared" si="12"/>
        <v>679</v>
      </c>
      <c r="AA25">
        <f t="shared" si="13"/>
        <v>783</v>
      </c>
      <c r="AB25">
        <f t="shared" si="20"/>
        <v>436118.52458494139</v>
      </c>
      <c r="AC25">
        <f t="shared" si="14"/>
        <v>47.652732059830235</v>
      </c>
    </row>
    <row r="26" spans="1:29" x14ac:dyDescent="0.35">
      <c r="A26" t="s">
        <v>18</v>
      </c>
      <c r="B26">
        <v>572</v>
      </c>
      <c r="C26">
        <v>605</v>
      </c>
      <c r="D26">
        <v>928</v>
      </c>
      <c r="E26">
        <v>809</v>
      </c>
      <c r="F26">
        <v>519</v>
      </c>
      <c r="G26">
        <v>555</v>
      </c>
      <c r="H26">
        <f t="shared" si="21"/>
        <v>3988</v>
      </c>
      <c r="I26">
        <f t="shared" si="15"/>
        <v>664.66666666666663</v>
      </c>
      <c r="J26">
        <f t="shared" si="16"/>
        <v>588.5</v>
      </c>
      <c r="K26" t="e">
        <f t="shared" si="17"/>
        <v>#N/A</v>
      </c>
      <c r="L26">
        <f t="shared" si="18"/>
        <v>649.15943517495475</v>
      </c>
      <c r="M26">
        <f t="shared" si="0"/>
        <v>635.36380718175519</v>
      </c>
      <c r="N26">
        <f t="shared" si="1"/>
        <v>164.66288794584742</v>
      </c>
      <c r="O26">
        <f t="shared" si="2"/>
        <v>150.31596351981014</v>
      </c>
      <c r="P26">
        <f t="shared" si="3"/>
        <v>27113.866666666698</v>
      </c>
      <c r="Q26">
        <f t="shared" si="4"/>
        <v>22594.888888888891</v>
      </c>
      <c r="R26">
        <f t="shared" si="5"/>
        <v>928</v>
      </c>
      <c r="S26">
        <f t="shared" si="6"/>
        <v>519</v>
      </c>
      <c r="T26">
        <f t="shared" si="19"/>
        <v>409</v>
      </c>
      <c r="U26">
        <f t="shared" si="7"/>
        <v>1.0650005789232773</v>
      </c>
      <c r="V26">
        <f t="shared" si="8"/>
        <v>-0.60941132725645986</v>
      </c>
      <c r="W26">
        <f t="shared" si="9"/>
        <v>519</v>
      </c>
      <c r="X26">
        <f t="shared" si="10"/>
        <v>559.25</v>
      </c>
      <c r="Y26">
        <f t="shared" si="11"/>
        <v>588.5</v>
      </c>
      <c r="Z26">
        <f t="shared" si="12"/>
        <v>758</v>
      </c>
      <c r="AA26">
        <f t="shared" si="13"/>
        <v>928</v>
      </c>
      <c r="AB26">
        <f t="shared" si="20"/>
        <v>421407.97227666626</v>
      </c>
      <c r="AC26">
        <f t="shared" si="14"/>
        <v>20.182649380146156</v>
      </c>
    </row>
    <row r="27" spans="1:29" x14ac:dyDescent="0.35">
      <c r="A27" t="s">
        <v>7</v>
      </c>
      <c r="B27">
        <v>635</v>
      </c>
      <c r="C27">
        <v>705</v>
      </c>
      <c r="D27">
        <v>726</v>
      </c>
      <c r="E27">
        <v>876</v>
      </c>
      <c r="F27">
        <v>669</v>
      </c>
      <c r="G27">
        <v>981</v>
      </c>
      <c r="H27">
        <f t="shared" si="21"/>
        <v>4592</v>
      </c>
      <c r="I27">
        <f t="shared" si="15"/>
        <v>765.33333333333337</v>
      </c>
      <c r="J27">
        <f t="shared" si="16"/>
        <v>715.5</v>
      </c>
      <c r="K27" t="e">
        <f t="shared" si="17"/>
        <v>#N/A</v>
      </c>
      <c r="L27">
        <f t="shared" si="18"/>
        <v>756.10675096657496</v>
      </c>
      <c r="M27">
        <f t="shared" si="0"/>
        <v>747.53852864201133</v>
      </c>
      <c r="N27">
        <f t="shared" si="1"/>
        <v>134.32299381217908</v>
      </c>
      <c r="O27">
        <f t="shared" si="2"/>
        <v>122.61955617092876</v>
      </c>
      <c r="P27">
        <f t="shared" si="3"/>
        <v>18042.666666666697</v>
      </c>
      <c r="Q27">
        <f t="shared" si="4"/>
        <v>15035.555555555555</v>
      </c>
      <c r="R27">
        <f t="shared" si="5"/>
        <v>981</v>
      </c>
      <c r="S27">
        <f t="shared" si="6"/>
        <v>635</v>
      </c>
      <c r="T27">
        <f t="shared" si="19"/>
        <v>346</v>
      </c>
      <c r="U27">
        <f t="shared" si="7"/>
        <v>0.99004455470871799</v>
      </c>
      <c r="V27">
        <f t="shared" si="8"/>
        <v>-0.43630291540141819</v>
      </c>
      <c r="W27">
        <f t="shared" si="9"/>
        <v>635</v>
      </c>
      <c r="X27">
        <f t="shared" si="10"/>
        <v>678</v>
      </c>
      <c r="Y27">
        <f t="shared" si="11"/>
        <v>715.5</v>
      </c>
      <c r="Z27">
        <f t="shared" si="12"/>
        <v>838.5</v>
      </c>
      <c r="AA27">
        <f t="shared" si="13"/>
        <v>981</v>
      </c>
      <c r="AB27">
        <f t="shared" si="20"/>
        <v>571697.41885723022</v>
      </c>
      <c r="AC27">
        <f t="shared" si="14"/>
        <v>28.488545096139024</v>
      </c>
    </row>
    <row r="28" spans="1:29" x14ac:dyDescent="0.35">
      <c r="A28" t="s">
        <v>8</v>
      </c>
      <c r="B28">
        <v>979</v>
      </c>
      <c r="C28">
        <v>646</v>
      </c>
      <c r="D28">
        <v>702</v>
      </c>
      <c r="E28">
        <v>637</v>
      </c>
      <c r="F28">
        <v>575</v>
      </c>
      <c r="G28">
        <v>988</v>
      </c>
      <c r="H28">
        <f t="shared" si="21"/>
        <v>4527</v>
      </c>
      <c r="I28">
        <f t="shared" si="15"/>
        <v>754.5</v>
      </c>
      <c r="J28">
        <f t="shared" si="16"/>
        <v>674</v>
      </c>
      <c r="K28" t="e">
        <f t="shared" si="17"/>
        <v>#N/A</v>
      </c>
      <c r="L28">
        <f t="shared" si="18"/>
        <v>737.31447020533994</v>
      </c>
      <c r="M28">
        <f t="shared" si="0"/>
        <v>721.58103628666265</v>
      </c>
      <c r="N28">
        <f t="shared" si="1"/>
        <v>181.92168644776797</v>
      </c>
      <c r="O28">
        <f t="shared" si="2"/>
        <v>166.0710189447073</v>
      </c>
      <c r="P28">
        <f t="shared" si="3"/>
        <v>33095.5</v>
      </c>
      <c r="Q28">
        <f t="shared" si="4"/>
        <v>27579.583333333332</v>
      </c>
      <c r="R28">
        <f t="shared" si="5"/>
        <v>988</v>
      </c>
      <c r="S28">
        <f t="shared" si="6"/>
        <v>575</v>
      </c>
      <c r="T28">
        <f t="shared" si="19"/>
        <v>413</v>
      </c>
      <c r="U28">
        <f t="shared" si="7"/>
        <v>0.75827468263503606</v>
      </c>
      <c r="V28">
        <f t="shared" si="8"/>
        <v>-1.8480944100554435</v>
      </c>
      <c r="W28">
        <f t="shared" si="9"/>
        <v>575</v>
      </c>
      <c r="X28">
        <f t="shared" si="10"/>
        <v>639.25</v>
      </c>
      <c r="Y28">
        <f t="shared" si="11"/>
        <v>674</v>
      </c>
      <c r="Z28">
        <f t="shared" si="12"/>
        <v>909.75</v>
      </c>
      <c r="AA28">
        <f t="shared" si="13"/>
        <v>988</v>
      </c>
      <c r="AB28">
        <f t="shared" si="20"/>
        <v>543632.62797418109</v>
      </c>
      <c r="AC28">
        <f t="shared" si="14"/>
        <v>20.736944966058967</v>
      </c>
    </row>
    <row r="29" spans="1:29" x14ac:dyDescent="0.35">
      <c r="A29" t="s">
        <v>9</v>
      </c>
      <c r="B29">
        <v>597</v>
      </c>
      <c r="C29">
        <v>570</v>
      </c>
      <c r="D29">
        <v>723</v>
      </c>
      <c r="E29">
        <v>609</v>
      </c>
      <c r="F29">
        <v>853</v>
      </c>
      <c r="G29">
        <v>595</v>
      </c>
      <c r="H29">
        <f t="shared" si="21"/>
        <v>3947</v>
      </c>
      <c r="I29">
        <f t="shared" si="15"/>
        <v>657.83333333333337</v>
      </c>
      <c r="J29">
        <f t="shared" si="16"/>
        <v>603</v>
      </c>
      <c r="K29" t="e">
        <f t="shared" si="17"/>
        <v>#N/A</v>
      </c>
      <c r="L29">
        <f t="shared" si="18"/>
        <v>650.89628919248082</v>
      </c>
      <c r="M29">
        <f t="shared" si="0"/>
        <v>644.63483565169338</v>
      </c>
      <c r="N29">
        <f t="shared" si="1"/>
        <v>109.62192603063814</v>
      </c>
      <c r="O29">
        <f t="shared" si="2"/>
        <v>100.07066947357197</v>
      </c>
      <c r="P29">
        <f t="shared" si="3"/>
        <v>12016.966666666698</v>
      </c>
      <c r="Q29">
        <f t="shared" si="4"/>
        <v>10014.138888888889</v>
      </c>
      <c r="R29">
        <f t="shared" si="5"/>
        <v>853</v>
      </c>
      <c r="S29">
        <f t="shared" si="6"/>
        <v>570</v>
      </c>
      <c r="T29">
        <f t="shared" si="19"/>
        <v>283</v>
      </c>
      <c r="U29">
        <f t="shared" si="7"/>
        <v>1.4673834646301476</v>
      </c>
      <c r="V29">
        <f t="shared" si="8"/>
        <v>1.3282703203194899</v>
      </c>
      <c r="W29">
        <f t="shared" si="9"/>
        <v>570</v>
      </c>
      <c r="X29">
        <f t="shared" si="10"/>
        <v>595.5</v>
      </c>
      <c r="Y29">
        <f t="shared" si="11"/>
        <v>603</v>
      </c>
      <c r="Z29">
        <f t="shared" si="12"/>
        <v>694.5</v>
      </c>
      <c r="AA29">
        <f t="shared" si="13"/>
        <v>853</v>
      </c>
      <c r="AB29">
        <f t="shared" si="20"/>
        <v>423665.97928454162</v>
      </c>
      <c r="AC29">
        <f t="shared" si="14"/>
        <v>30.004642189441007</v>
      </c>
    </row>
    <row r="30" spans="1:29" x14ac:dyDescent="0.35">
      <c r="A30" t="s">
        <v>10</v>
      </c>
      <c r="B30">
        <v>983</v>
      </c>
      <c r="C30">
        <v>682</v>
      </c>
      <c r="D30">
        <v>628</v>
      </c>
      <c r="E30">
        <v>793</v>
      </c>
      <c r="F30">
        <v>708</v>
      </c>
      <c r="G30">
        <v>635</v>
      </c>
      <c r="H30">
        <f t="shared" si="21"/>
        <v>4429</v>
      </c>
      <c r="I30">
        <f t="shared" si="15"/>
        <v>738.16666666666663</v>
      </c>
      <c r="J30">
        <f t="shared" si="16"/>
        <v>695</v>
      </c>
      <c r="K30" t="e">
        <f t="shared" si="17"/>
        <v>#N/A</v>
      </c>
      <c r="L30">
        <f t="shared" si="18"/>
        <v>729.00350730375578</v>
      </c>
      <c r="M30">
        <f t="shared" si="0"/>
        <v>720.79059872903406</v>
      </c>
      <c r="N30">
        <f t="shared" si="1"/>
        <v>134.01106919455086</v>
      </c>
      <c r="O30">
        <f t="shared" si="2"/>
        <v>122.33480925540185</v>
      </c>
      <c r="P30">
        <f t="shared" si="3"/>
        <v>17958.966666666696</v>
      </c>
      <c r="Q30">
        <f t="shared" si="4"/>
        <v>14965.805555555555</v>
      </c>
      <c r="R30">
        <f t="shared" si="5"/>
        <v>983</v>
      </c>
      <c r="S30">
        <f t="shared" si="6"/>
        <v>628</v>
      </c>
      <c r="T30">
        <f t="shared" si="19"/>
        <v>355</v>
      </c>
      <c r="U30">
        <f t="shared" si="7"/>
        <v>1.5209113611726772</v>
      </c>
      <c r="V30">
        <f t="shared" si="8"/>
        <v>2.1571919449672592</v>
      </c>
      <c r="W30">
        <f t="shared" si="9"/>
        <v>628</v>
      </c>
      <c r="X30">
        <f t="shared" si="10"/>
        <v>646.75</v>
      </c>
      <c r="Y30">
        <f t="shared" si="11"/>
        <v>695</v>
      </c>
      <c r="Z30">
        <f t="shared" si="12"/>
        <v>771.75</v>
      </c>
      <c r="AA30">
        <f t="shared" si="13"/>
        <v>983</v>
      </c>
      <c r="AB30">
        <f t="shared" si="20"/>
        <v>531446.11366117711</v>
      </c>
      <c r="AC30">
        <f t="shared" si="14"/>
        <v>27.541257267152748</v>
      </c>
    </row>
    <row r="31" spans="1:29" x14ac:dyDescent="0.35">
      <c r="A31" t="s">
        <v>11</v>
      </c>
      <c r="B31">
        <v>627</v>
      </c>
      <c r="C31">
        <v>904</v>
      </c>
      <c r="D31">
        <v>918</v>
      </c>
      <c r="E31">
        <v>998</v>
      </c>
      <c r="F31">
        <v>578</v>
      </c>
      <c r="G31">
        <v>804</v>
      </c>
      <c r="H31">
        <f t="shared" si="21"/>
        <v>4829</v>
      </c>
      <c r="I31">
        <f t="shared" si="15"/>
        <v>804.83333333333337</v>
      </c>
      <c r="J31">
        <f t="shared" si="16"/>
        <v>854</v>
      </c>
      <c r="K31" t="e">
        <f t="shared" si="17"/>
        <v>#N/A</v>
      </c>
      <c r="L31">
        <f t="shared" si="18"/>
        <v>789.03968516441898</v>
      </c>
      <c r="M31">
        <f t="shared" si="0"/>
        <v>772.56820946803509</v>
      </c>
      <c r="N31">
        <f t="shared" si="1"/>
        <v>169.13475889558214</v>
      </c>
      <c r="O31">
        <f t="shared" si="2"/>
        <v>154.39820450884639</v>
      </c>
      <c r="P31">
        <f t="shared" si="3"/>
        <v>28606.566666666698</v>
      </c>
      <c r="Q31">
        <f t="shared" si="4"/>
        <v>23838.805555555555</v>
      </c>
      <c r="R31">
        <f t="shared" si="5"/>
        <v>998</v>
      </c>
      <c r="S31">
        <f t="shared" si="6"/>
        <v>578</v>
      </c>
      <c r="T31">
        <f t="shared" si="19"/>
        <v>420</v>
      </c>
      <c r="U31">
        <f t="shared" si="7"/>
        <v>-0.47514399649534572</v>
      </c>
      <c r="V31">
        <f t="shared" si="8"/>
        <v>-1.7159151797407972</v>
      </c>
      <c r="W31">
        <f t="shared" si="9"/>
        <v>578</v>
      </c>
      <c r="X31">
        <f t="shared" si="10"/>
        <v>671.25</v>
      </c>
      <c r="Y31">
        <f t="shared" si="11"/>
        <v>854</v>
      </c>
      <c r="Z31">
        <f t="shared" si="12"/>
        <v>914.5</v>
      </c>
      <c r="AA31">
        <f t="shared" si="13"/>
        <v>998</v>
      </c>
      <c r="AB31">
        <f t="shared" si="20"/>
        <v>622583.62476436538</v>
      </c>
      <c r="AC31">
        <f t="shared" si="14"/>
        <v>23.792665049713676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2025-09-02T17:01:49Z</dcterms:created>
  <dcterms:modified xsi:type="dcterms:W3CDTF">2025-09-02T18:20:43Z</dcterms:modified>
</cp:coreProperties>
</file>