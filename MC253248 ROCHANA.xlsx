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23C0CEAC50299ED0/Documents/"/>
    </mc:Choice>
  </mc:AlternateContent>
  <xr:revisionPtr revIDLastSave="0" documentId="8_{22B1B01C-2352-4B78-A559-E32F066CF712}" xr6:coauthVersionLast="47" xr6:coauthVersionMax="47" xr10:uidLastSave="{00000000-0000-0000-0000-000000000000}"/>
  <bookViews>
    <workbookView xWindow="-110" yWindow="-110" windowWidth="19420" windowHeight="10300" firstSheet="1" activeTab="7" xr2:uid="{00000000-000D-0000-FFFF-FFFF00000000}"/>
  </bookViews>
  <sheets>
    <sheet name="Binomial" sheetId="1" r:id="rId1"/>
    <sheet name="rank correlation" sheetId="8" r:id="rId2"/>
    <sheet name="Poisson " sheetId="2" r:id="rId3"/>
    <sheet name="Normal" sheetId="3" r:id="rId4"/>
    <sheet name="ANOVA" sheetId="4" r:id="rId5"/>
    <sheet name="Chi-square" sheetId="5" r:id="rId6"/>
    <sheet name="Correlation" sheetId="6" r:id="rId7"/>
    <sheet name="Regression" sheetId="7" r:id="rId8"/>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9" i="7" l="1"/>
  <c r="D28" i="7"/>
  <c r="D34" i="5"/>
  <c r="E34" i="5"/>
  <c r="F34" i="5"/>
  <c r="F42" i="5"/>
  <c r="B30" i="5"/>
  <c r="F30" i="5"/>
  <c r="D20" i="7"/>
  <c r="E12" i="8"/>
  <c r="E13" i="8"/>
  <c r="E14" i="8"/>
  <c r="E15" i="8"/>
  <c r="E16" i="8"/>
  <c r="E17" i="8"/>
  <c r="E18" i="8"/>
  <c r="E19" i="8"/>
  <c r="E20" i="8"/>
  <c r="E11" i="8"/>
  <c r="D12" i="8"/>
  <c r="D13" i="8"/>
  <c r="D14" i="8"/>
  <c r="D15" i="8"/>
  <c r="D16" i="8"/>
  <c r="D17" i="8"/>
  <c r="D18" i="8"/>
  <c r="D19" i="8"/>
  <c r="D20" i="8"/>
  <c r="A10" i="3"/>
  <c r="A18" i="3"/>
  <c r="A14" i="3"/>
  <c r="A24" i="2"/>
  <c r="B23" i="2"/>
  <c r="B18" i="2"/>
  <c r="A6" i="2"/>
  <c r="A17" i="1"/>
  <c r="O30" i="4"/>
  <c r="M30" i="4"/>
  <c r="N30" i="4"/>
  <c r="L30" i="4"/>
  <c r="C30" i="4"/>
  <c r="D30" i="4"/>
  <c r="B30" i="4"/>
  <c r="F35" i="5"/>
  <c r="F36" i="5"/>
  <c r="F37" i="5"/>
  <c r="F38" i="5"/>
  <c r="F39" i="5"/>
  <c r="F40" i="5"/>
  <c r="F41" i="5"/>
  <c r="E35" i="5"/>
  <c r="E36" i="5"/>
  <c r="E37" i="5"/>
  <c r="E38" i="5"/>
  <c r="E39" i="5"/>
  <c r="E40" i="5"/>
  <c r="E41" i="5"/>
  <c r="D35" i="5"/>
  <c r="D36" i="5"/>
  <c r="D37" i="5"/>
  <c r="D38" i="5"/>
  <c r="D39" i="5"/>
  <c r="D40" i="5"/>
  <c r="D41" i="5"/>
  <c r="F31" i="5"/>
  <c r="E31" i="5"/>
  <c r="D31" i="5"/>
  <c r="C31" i="5"/>
  <c r="B31" i="5"/>
  <c r="E30" i="5"/>
  <c r="D30" i="5"/>
  <c r="C30" i="5"/>
  <c r="F25" i="5"/>
  <c r="F26" i="5"/>
  <c r="F24" i="5"/>
  <c r="C26" i="5"/>
  <c r="D26" i="5"/>
  <c r="E26" i="5"/>
  <c r="B26" i="5"/>
  <c r="B28" i="7"/>
  <c r="D26" i="7"/>
  <c r="D25" i="7"/>
  <c r="D22" i="7"/>
  <c r="D23" i="7"/>
  <c r="D24" i="7"/>
  <c r="D21" i="7"/>
  <c r="D11" i="8"/>
  <c r="N11" i="8"/>
</calcChain>
</file>

<file path=xl/sharedStrings.xml><?xml version="1.0" encoding="utf-8"?>
<sst xmlns="http://schemas.openxmlformats.org/spreadsheetml/2006/main" count="171" uniqueCount="124">
  <si>
    <t>Consider two different binomial experiments. Experiment A has n=20 trials and a probability of success p=0.3. Experiment B has n=50 trials and a probability of success p=0.1. Without performing detailed calculations, compare and contrast the expected number of successes and the potential spread (variance) of the number of successes in these two experiments. Justify your reasoning.</t>
  </si>
  <si>
    <t>EXPERIMENT A</t>
  </si>
  <si>
    <t>EXPERIMENT B</t>
  </si>
  <si>
    <t>TOTAL NO OF TRIALS =20</t>
  </si>
  <si>
    <t>TOTAL NO OF TRIALS =50</t>
  </si>
  <si>
    <t>PROBABILITY OF SUCCESSES=0.3%</t>
  </si>
  <si>
    <t>PROBABILITY OF SUCCESSES=0.1%</t>
  </si>
  <si>
    <t>if you want probability of getting exactly 6 success</t>
  </si>
  <si>
    <t>if you want probability of getting exactly 5 success</t>
  </si>
  <si>
    <t>lets take p=6</t>
  </si>
  <si>
    <t>lets take p=5</t>
  </si>
  <si>
    <t xml:space="preserve"> binom.Dist (6,20,0.3,false)</t>
  </si>
  <si>
    <t>BINOM.DIST(5,50,0.1,FALSE)</t>
  </si>
  <si>
    <t>if you want the cumulative probability of getting 6 or less</t>
  </si>
  <si>
    <t>if you want the cumulative probability of getting 5 or less</t>
  </si>
  <si>
    <t>binom.dist(6,20,0.3,true)</t>
  </si>
  <si>
    <t>binom.dist(5,50,0.1,true)</t>
  </si>
  <si>
    <t>Suppose the probability that a customer will purchase your product if they stay more than ten minutes on your website is 0.68.  You take a sample of 20 people and you want to know what is the probability that exactly twelve people will make a purchase, P(X = 12). </t>
  </si>
  <si>
    <t>NO OF SUCCESS:-12</t>
  </si>
  <si>
    <t>TOTAL NO OF TRIAL:-20</t>
  </si>
  <si>
    <t>PROBABILITY OF SUCCESS:-0.68</t>
  </si>
  <si>
    <t>THIS MEANS THERE IS ABOUT 13.53% PROBABILITY THAT EXACTLY 12 OUT OF 20 PEOPLE WILL MAKE PURCHASE</t>
  </si>
  <si>
    <t>JUDGE 1</t>
  </si>
  <si>
    <t>JUDGE 2</t>
  </si>
  <si>
    <t>RANK 1</t>
  </si>
  <si>
    <t>RANK 2</t>
  </si>
  <si>
    <t>COEFFICIENT:</t>
  </si>
  <si>
    <t>THEREFORE THERE IS HIGH POSITIVE CORRELATION</t>
  </si>
  <si>
    <t>The mean number of white cars entering the intersection during two hours is ten cars.  What is the probability that 13 cars enter the intersection? </t>
  </si>
  <si>
    <t>X/K=13</t>
  </si>
  <si>
    <t>LAMBDA=10</t>
  </si>
  <si>
    <t>THE PROBABILITY IS 7.29%</t>
  </si>
  <si>
    <t>A large department store sells on average 100 MP3 players a week. Assuming that purchases are as described in the above observation, what is the probability that the store can serve its  potential buyers before the end if they stock 120 players? Also, find out what would be the probability of the store turning away its customers without the player?</t>
  </si>
  <si>
    <t>X=120</t>
  </si>
  <si>
    <t>LAMBDA=100</t>
  </si>
  <si>
    <t>P(X&lt;120)</t>
  </si>
  <si>
    <t>THE STORE CAN SERVE 97.73% BEFORE THE END IF THEY HAVE 120 PEOPLE</t>
  </si>
  <si>
    <t>TURNING AWAY CUSTOMERS</t>
  </si>
  <si>
    <t xml:space="preserve">P(X&gt;120) </t>
  </si>
  <si>
    <t>The scores in an exam are normally distributed with a mean of 35 and a standard deviation of 10.</t>
  </si>
  <si>
    <t xml:space="preserve">Find out the probability of students scoring more than 34. </t>
  </si>
  <si>
    <t>Find out the probability of students scoring less than 50.</t>
  </si>
  <si>
    <t>find out the probability of students scoring between 50 and 80</t>
  </si>
  <si>
    <t>MEAN=35</t>
  </si>
  <si>
    <t>SD=10</t>
  </si>
  <si>
    <t>PROBABILITY OF STUDENT SCORING MORE THAN 34 (X&lt;34)</t>
  </si>
  <si>
    <t>PROBABILITY OF STUDENT SCORING LESS THAN 50</t>
  </si>
  <si>
    <t>PROBABILITY OF STUDENT SCORING BETWEEN 50 AND 80</t>
  </si>
  <si>
    <t>BRAND 1</t>
  </si>
  <si>
    <t>BRAND 2</t>
  </si>
  <si>
    <t>BRAND 3</t>
  </si>
  <si>
    <t>DETERGENT A</t>
  </si>
  <si>
    <t>DETERGENT B</t>
  </si>
  <si>
    <t>DETERGENT C</t>
  </si>
  <si>
    <t>DETERGENT D</t>
  </si>
  <si>
    <t>TOTAL=</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</si>
  <si>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</si>
  <si>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</si>
  <si>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</si>
  <si>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</si>
  <si>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</si>
  <si>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</si>
  <si>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</si>
  <si>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</si>
  <si>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</si>
  <si>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</si>
  <si>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</si>
  <si>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</si>
  <si>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</si>
  <si>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</si>
  <si>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</si>
  <si>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</si>
  <si>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</si>
  <si>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</si>
  <si>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hence the calculated value(F) is more than tabulated value(F crit) there is a diffrence . Its a null hypothesis</t>
  </si>
  <si>
    <t>hence the calculated value(F) is less than the tabulated value(F crit) there is no diffrence .</t>
  </si>
  <si>
    <t>15.5&gt;6.92</t>
  </si>
  <si>
    <t>1.07&lt;3.41</t>
  </si>
  <si>
    <t>HIGH SCHOOL</t>
  </si>
  <si>
    <t>BACHELORS</t>
  </si>
  <si>
    <t>MASTERS</t>
  </si>
  <si>
    <t>PH.D.</t>
  </si>
  <si>
    <t>TOTAL</t>
  </si>
  <si>
    <t>FEMALE</t>
  </si>
  <si>
    <t>MALE</t>
  </si>
  <si>
    <t>EXPECTED VALUES</t>
  </si>
  <si>
    <t>OBSERVED (O)</t>
  </si>
  <si>
    <t>EXPECTED[e]</t>
  </si>
  <si>
    <t>O-E</t>
  </si>
  <si>
    <t>O-E^2</t>
  </si>
  <si>
    <t>O-E^2/E</t>
  </si>
  <si>
    <t>DEGREE OF FREEDOM</t>
  </si>
  <si>
    <t>(R-1)(C-1)</t>
  </si>
  <si>
    <t>(2-1)(4-1)</t>
  </si>
  <si>
    <t>1*3=3</t>
  </si>
  <si>
    <t>SIGNIFICANCE LEVEL=5%</t>
  </si>
  <si>
    <t>TABULATED CHI SQUARE TABLE</t>
  </si>
  <si>
    <t>x</t>
  </si>
  <si>
    <t>y</t>
  </si>
  <si>
    <t>hence there is a high positive correlation r=0.71</t>
  </si>
  <si>
    <t>SUMMARY OUTPUT</t>
  </si>
  <si>
    <t>Regression Statistics</t>
  </si>
  <si>
    <t>Multiple R</t>
  </si>
  <si>
    <t>R Square</t>
  </si>
  <si>
    <t>Adjusted R Square</t>
  </si>
  <si>
    <t>Standard Error</t>
  </si>
  <si>
    <t>Observations</t>
  </si>
  <si>
    <t>X</t>
  </si>
  <si>
    <t>Y</t>
  </si>
  <si>
    <t>Y=MX+C</t>
  </si>
  <si>
    <t>Significance F</t>
  </si>
  <si>
    <t>Regression</t>
  </si>
  <si>
    <t>Residual</t>
  </si>
  <si>
    <t>Coefficients</t>
  </si>
  <si>
    <t>t Stat</t>
  </si>
  <si>
    <t>Lower 95%</t>
  </si>
  <si>
    <t>Upper 95%</t>
  </si>
  <si>
    <t>Lower 95.0%</t>
  </si>
  <si>
    <t>Upper 95.0%</t>
  </si>
  <si>
    <t>Intercept</t>
  </si>
  <si>
    <t>RESIDUAL OUTPUT</t>
  </si>
  <si>
    <t>Observation</t>
  </si>
  <si>
    <t>Predicted Y</t>
  </si>
  <si>
    <t>Residuals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</si>
</sst>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000000"/>
      <name val="Tahoma"/>
      <family val="2"/>
    </font>
    <font>
      <sz val="11"/>
      <color rgb="FF111111"/>
      <name val="Georgia"/>
      <family val="1"/>
    </font>
    <font>
      <sz val="16"/>
      <color rgb="FF000000"/>
      <name val="Calibri_5h_1"/>
    </font>
    <font>
      <b/>
      <sz val="11"/>
      <color theme="1"/>
      <name val="Calibri"/>
      <family val="2"/>
      <scheme val="minor"/>
    </font>
    <font>
      <b/>
      <sz val="14"/>
      <color theme="1"/>
      <name val="Calibri"/>
      <family val="2"/>
      <scheme val="minor"/>
    </font>
    <font>
      <sz val="14"/>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left" vertical="center" indent="1"/>
    </xf>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1" xfId="0" applyBorder="1"/>
    <xf numFmtId="0" fontId="7" fillId="0" borderId="2" xfId="0" applyFont="1" applyBorder="1" applyAlignment="1">
      <alignment horizontal="center"/>
    </xf>
    <xf numFmtId="0" fontId="7" fillId="0" borderId="2" xfId="0" applyFont="1" applyBorder="1" applyAlignment="1">
      <alignment horizontal="centerContinuous"/>
    </xf>
    <xf numFmtId="10" fontId="0" fillId="0" borderId="0" xfId="0" applyNumberFormat="1"/>
    <xf numFmtId="0" fontId="4" fillId="0" borderId="0" xfId="0" applyFont="1"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409780</xdr:colOff>
      <xdr:row>7</xdr:row>
      <xdr:rowOff>60960</xdr:rowOff>
    </xdr:to>
    <xdr:pic>
      <xdr:nvPicPr>
        <xdr:cNvPr id="2" name="Picture 1">
          <a:extLst>
            <a:ext uri="{FF2B5EF4-FFF2-40B4-BE49-F238E27FC236}">
              <a16:creationId xmlns:a16="http://schemas.microsoft.com/office/drawing/2014/main" id="{927E0B1F-E54A-7E42-10E1-1D17FE84E38F}"/>
            </a:ext>
          </a:extLst>
        </xdr:cNvPr>
        <xdr:cNvPicPr>
          <a:picLocks noChangeAspect="1"/>
        </xdr:cNvPicPr>
      </xdr:nvPicPr>
      <xdr:blipFill>
        <a:blip xmlns:r="http://schemas.openxmlformats.org/officeDocument/2006/relationships" r:embed="rId1"/>
        <a:stretch>
          <a:fillRect/>
        </a:stretch>
      </xdr:blipFill>
      <xdr:spPr>
        <a:xfrm>
          <a:off x="0" y="0"/>
          <a:ext cx="7115380" cy="13411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366958</xdr:colOff>
      <xdr:row>19</xdr:row>
      <xdr:rowOff>95169</xdr:rowOff>
    </xdr:to>
    <xdr:pic>
      <xdr:nvPicPr>
        <xdr:cNvPr id="2" name="Picture 1">
          <a:extLst>
            <a:ext uri="{FF2B5EF4-FFF2-40B4-BE49-F238E27FC236}">
              <a16:creationId xmlns:a16="http://schemas.microsoft.com/office/drawing/2014/main" id="{98D1879D-28F2-334C-939D-10CAE7626F91}"/>
            </a:ext>
          </a:extLst>
        </xdr:cNvPr>
        <xdr:cNvPicPr>
          <a:picLocks noChangeAspect="1"/>
        </xdr:cNvPicPr>
      </xdr:nvPicPr>
      <xdr:blipFill>
        <a:blip xmlns:r="http://schemas.openxmlformats.org/officeDocument/2006/relationships" r:embed="rId1"/>
        <a:stretch>
          <a:fillRect/>
        </a:stretch>
      </xdr:blipFill>
      <xdr:spPr>
        <a:xfrm>
          <a:off x="0" y="0"/>
          <a:ext cx="5951220" cy="3752769"/>
        </a:xfrm>
        <a:prstGeom prst="rect">
          <a:avLst/>
        </a:prstGeom>
      </xdr:spPr>
    </xdr:pic>
    <xdr:clientData/>
  </xdr:twoCellAnchor>
  <xdr:twoCellAnchor editAs="oneCell">
    <xdr:from>
      <xdr:col>11</xdr:col>
      <xdr:colOff>76200</xdr:colOff>
      <xdr:row>0</xdr:row>
      <xdr:rowOff>144780</xdr:rowOff>
    </xdr:from>
    <xdr:to>
      <xdr:col>16</xdr:col>
      <xdr:colOff>373378</xdr:colOff>
      <xdr:row>20</xdr:row>
      <xdr:rowOff>82159</xdr:rowOff>
    </xdr:to>
    <xdr:pic>
      <xdr:nvPicPr>
        <xdr:cNvPr id="3" name="Picture 2">
          <a:extLst>
            <a:ext uri="{FF2B5EF4-FFF2-40B4-BE49-F238E27FC236}">
              <a16:creationId xmlns:a16="http://schemas.microsoft.com/office/drawing/2014/main" id="{45D2416B-7710-D459-EACC-24AF2D73166E}"/>
            </a:ext>
          </a:extLst>
        </xdr:cNvPr>
        <xdr:cNvPicPr>
          <a:picLocks noChangeAspect="1"/>
        </xdr:cNvPicPr>
      </xdr:nvPicPr>
      <xdr:blipFill>
        <a:blip xmlns:r="http://schemas.openxmlformats.org/officeDocument/2006/relationships" r:embed="rId2"/>
        <a:stretch>
          <a:fillRect/>
        </a:stretch>
      </xdr:blipFill>
      <xdr:spPr>
        <a:xfrm>
          <a:off x="7345680" y="144780"/>
          <a:ext cx="4739640" cy="37873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130400</xdr:colOff>
      <xdr:row>19</xdr:row>
      <xdr:rowOff>68887</xdr:rowOff>
    </xdr:to>
    <xdr:pic>
      <xdr:nvPicPr>
        <xdr:cNvPr id="2" name="Picture 1">
          <a:extLst>
            <a:ext uri="{FF2B5EF4-FFF2-40B4-BE49-F238E27FC236}">
              <a16:creationId xmlns:a16="http://schemas.microsoft.com/office/drawing/2014/main" id="{0B9ECE47-CA8C-94EE-3949-DC27E1A783A2}"/>
            </a:ext>
          </a:extLst>
        </xdr:cNvPr>
        <xdr:cNvPicPr>
          <a:picLocks noChangeAspect="1"/>
        </xdr:cNvPicPr>
      </xdr:nvPicPr>
      <xdr:blipFill>
        <a:blip xmlns:r="http://schemas.openxmlformats.org/officeDocument/2006/relationships" r:embed="rId1"/>
        <a:stretch>
          <a:fillRect/>
        </a:stretch>
      </xdr:blipFill>
      <xdr:spPr>
        <a:xfrm>
          <a:off x="0" y="0"/>
          <a:ext cx="9929720" cy="35436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548640</xdr:colOff>
      <xdr:row>9</xdr:row>
      <xdr:rowOff>106680</xdr:rowOff>
    </xdr:to>
    <xdr:pic>
      <xdr:nvPicPr>
        <xdr:cNvPr id="2" name="Picture 1">
          <a:extLst>
            <a:ext uri="{FF2B5EF4-FFF2-40B4-BE49-F238E27FC236}">
              <a16:creationId xmlns:a16="http://schemas.microsoft.com/office/drawing/2014/main" id="{C540ECF6-343D-7AA3-8C56-E052C1031E17}"/>
            </a:ext>
          </a:extLst>
        </xdr:cNvPr>
        <xdr:cNvPicPr>
          <a:picLocks noChangeAspect="1"/>
        </xdr:cNvPicPr>
      </xdr:nvPicPr>
      <xdr:blipFill>
        <a:blip xmlns:r="http://schemas.openxmlformats.org/officeDocument/2006/relationships" r:embed="rId1"/>
        <a:stretch>
          <a:fillRect/>
        </a:stretch>
      </xdr:blipFill>
      <xdr:spPr>
        <a:xfrm>
          <a:off x="0" y="0"/>
          <a:ext cx="6035040" cy="1752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76200</xdr:colOff>
      <xdr:row>16</xdr:row>
      <xdr:rowOff>40287</xdr:rowOff>
    </xdr:to>
    <xdr:pic>
      <xdr:nvPicPr>
        <xdr:cNvPr id="2" name="Picture 1">
          <a:extLst>
            <a:ext uri="{FF2B5EF4-FFF2-40B4-BE49-F238E27FC236}">
              <a16:creationId xmlns:a16="http://schemas.microsoft.com/office/drawing/2014/main" id="{2206C4B1-F20F-797F-023A-B6CD51AB0C86}"/>
            </a:ext>
          </a:extLst>
        </xdr:cNvPr>
        <xdr:cNvPicPr>
          <a:picLocks noChangeAspect="1"/>
        </xdr:cNvPicPr>
      </xdr:nvPicPr>
      <xdr:blipFill>
        <a:blip xmlns:r="http://schemas.openxmlformats.org/officeDocument/2006/relationships" r:embed="rId1"/>
        <a:stretch>
          <a:fillRect/>
        </a:stretch>
      </xdr:blipFill>
      <xdr:spPr>
        <a:xfrm>
          <a:off x="0" y="0"/>
          <a:ext cx="4343400" cy="298160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7" zoomScaleNormal="100" workbookViewId="0">
      <selection activeCell="A19" sqref="A19"/>
    </sheetView>
  </sheetViews>
  <sheetFormatPr defaultRowHeight="14.5"/>
  <cols>
    <col min="1" max="1" width="36.54296875" bestFit="1" customWidth="1"/>
  </cols>
  <sheetData>
    <row r="1" spans="1:9">
      <c r="A1" s="1" t="s">
        <v>0</v>
      </c>
    </row>
    <row r="2" spans="1:9">
      <c r="A2" s="4" t="s">
        <v>1</v>
      </c>
      <c r="I2" s="4" t="s">
        <v>2</v>
      </c>
    </row>
    <row r="3" spans="1:9">
      <c r="A3" t="s">
        <v>3</v>
      </c>
      <c r="I3" t="s">
        <v>4</v>
      </c>
    </row>
    <row r="4" spans="1:9">
      <c r="A4" t="s">
        <v>5</v>
      </c>
      <c r="I4" t="s">
        <v>6</v>
      </c>
    </row>
    <row r="5" spans="1:9">
      <c r="A5" t="s">
        <v>7</v>
      </c>
      <c r="I5" t="s">
        <v>8</v>
      </c>
    </row>
    <row r="6" spans="1:9">
      <c r="A6" t="s">
        <v>9</v>
      </c>
      <c r="I6" t="s">
        <v>10</v>
      </c>
    </row>
    <row r="7" spans="1:9">
      <c r="A7" t="s">
        <v>11</v>
      </c>
      <c r="I7" t="s">
        <v>12</v>
      </c>
    </row>
    <row r="8" spans="1:9">
      <c r="A8" t="s">
        <v>13</v>
      </c>
      <c r="I8" t="s">
        <v>14</v>
      </c>
    </row>
    <row r="9" spans="1:9">
      <c r="A9" t="s">
        <v>15</v>
      </c>
      <c r="I9" t="s">
        <v>16</v>
      </c>
    </row>
    <row r="11" spans="1:9" ht="112.5">
      <c r="A11" s="12" t="s">
        <v>17</v>
      </c>
    </row>
    <row r="13" spans="1:9">
      <c r="A13" t="s">
        <v>18</v>
      </c>
    </row>
    <row r="14" spans="1:9">
      <c r="A14" t="s">
        <v>19</v>
      </c>
    </row>
    <row r="15" spans="1:9">
      <c r="A15" t="s">
        <v>20</v>
      </c>
    </row>
    <row r="17" spans="1:1">
      <c r="A17" s="4">
        <f>_xlfn.BINOM.DIST(12,20,0.68,FALSE)</f>
        <v>0.13538604715314609</v>
      </c>
    </row>
    <row r="18" spans="1:1">
      <c r="A18" t="s">
        <v>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984BA-E557-471A-B1E8-DFFAD3BF489B}">
  <dimension ref="B10:N20"/>
  <sheetViews>
    <sheetView topLeftCell="A2" workbookViewId="0">
      <selection activeCell="A19" sqref="A19"/>
    </sheetView>
  </sheetViews>
  <sheetFormatPr defaultRowHeight="14.5"/>
  <sheetData>
    <row r="10" spans="2:14" ht="15" thickBot="1">
      <c r="B10" t="s">
        <v>22</v>
      </c>
      <c r="C10" t="s">
        <v>23</v>
      </c>
      <c r="D10" t="s">
        <v>24</v>
      </c>
      <c r="E10" t="s">
        <v>25</v>
      </c>
    </row>
    <row r="11" spans="2:14">
      <c r="B11">
        <v>2</v>
      </c>
      <c r="C11">
        <v>6</v>
      </c>
      <c r="D11">
        <f ca="1">_xlfn.RANK.AVG(B11,N11,1)</f>
        <v>0</v>
      </c>
      <c r="E11">
        <f>_xlfn.RANK.AVG(C11,$C$11:$C$20,1)</f>
        <v>6</v>
      </c>
      <c r="H11" s="8"/>
      <c r="I11" s="8" t="s">
        <v>24</v>
      </c>
      <c r="J11" s="8" t="s">
        <v>25</v>
      </c>
      <c r="L11" t="s">
        <v>26</v>
      </c>
      <c r="N11">
        <f ca="1">CORREL(D11:D20,E11:E20)</f>
        <v>0.72121212121212119</v>
      </c>
    </row>
    <row r="12" spans="2:14">
      <c r="B12">
        <v>9</v>
      </c>
      <c r="C12">
        <v>9</v>
      </c>
      <c r="D12">
        <f t="shared" ref="D12:D20" si="0">_xlfn.RANK.AVG(B12,$B$11:$B$20,1)</f>
        <v>9</v>
      </c>
      <c r="E12">
        <f t="shared" ref="E12:E20" si="1">_xlfn.RANK.AVG(C12,$C$11:$C$20,1)</f>
        <v>9</v>
      </c>
      <c r="H12" t="s">
        <v>24</v>
      </c>
      <c r="I12">
        <v>1</v>
      </c>
    </row>
    <row r="13" spans="2:14" ht="15" thickBot="1">
      <c r="B13">
        <v>1</v>
      </c>
      <c r="C13">
        <v>2</v>
      </c>
      <c r="D13">
        <f t="shared" si="0"/>
        <v>1</v>
      </c>
      <c r="E13">
        <f t="shared" si="1"/>
        <v>2</v>
      </c>
      <c r="H13" s="7" t="s">
        <v>25</v>
      </c>
      <c r="I13" s="7">
        <v>0.72121212121212119</v>
      </c>
      <c r="J13" s="7">
        <v>1</v>
      </c>
    </row>
    <row r="14" spans="2:14">
      <c r="B14">
        <v>3</v>
      </c>
      <c r="C14">
        <v>1</v>
      </c>
      <c r="D14">
        <f t="shared" si="0"/>
        <v>3</v>
      </c>
      <c r="E14">
        <f t="shared" si="1"/>
        <v>1</v>
      </c>
    </row>
    <row r="15" spans="2:14">
      <c r="B15">
        <v>10</v>
      </c>
      <c r="C15">
        <v>8</v>
      </c>
      <c r="D15">
        <f t="shared" si="0"/>
        <v>10</v>
      </c>
      <c r="E15">
        <f t="shared" si="1"/>
        <v>8</v>
      </c>
    </row>
    <row r="16" spans="2:14">
      <c r="B16">
        <v>4</v>
      </c>
      <c r="C16">
        <v>4</v>
      </c>
      <c r="D16">
        <f t="shared" si="0"/>
        <v>4</v>
      </c>
      <c r="E16">
        <f t="shared" si="1"/>
        <v>4</v>
      </c>
      <c r="H16" t="s">
        <v>27</v>
      </c>
    </row>
    <row r="17" spans="2:5">
      <c r="B17">
        <v>6</v>
      </c>
      <c r="C17">
        <v>3</v>
      </c>
      <c r="D17">
        <f t="shared" si="0"/>
        <v>6</v>
      </c>
      <c r="E17">
        <f t="shared" si="1"/>
        <v>3</v>
      </c>
    </row>
    <row r="18" spans="2:5">
      <c r="B18">
        <v>8</v>
      </c>
      <c r="C18">
        <v>10</v>
      </c>
      <c r="D18">
        <f t="shared" si="0"/>
        <v>8</v>
      </c>
      <c r="E18">
        <f t="shared" si="1"/>
        <v>10</v>
      </c>
    </row>
    <row r="19" spans="2:5">
      <c r="B19">
        <v>5</v>
      </c>
      <c r="C19">
        <v>7</v>
      </c>
      <c r="D19">
        <f t="shared" si="0"/>
        <v>5</v>
      </c>
      <c r="E19">
        <f t="shared" si="1"/>
        <v>7</v>
      </c>
    </row>
    <row r="20" spans="2:5">
      <c r="B20">
        <v>7</v>
      </c>
      <c r="C20">
        <v>5</v>
      </c>
      <c r="D20">
        <f t="shared" si="0"/>
        <v>7</v>
      </c>
      <c r="E20">
        <f t="shared" si="1"/>
        <v>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8A1D8-7470-412D-AE26-94045B6191EE}">
  <dimension ref="A1:B25"/>
  <sheetViews>
    <sheetView topLeftCell="A14" workbookViewId="0">
      <selection activeCell="A25" sqref="A25"/>
    </sheetView>
  </sheetViews>
  <sheetFormatPr defaultRowHeight="14.5"/>
  <cols>
    <col min="1" max="1" width="36.54296875" bestFit="1" customWidth="1"/>
  </cols>
  <sheetData>
    <row r="1" spans="1:1">
      <c r="A1" s="2" t="s">
        <v>28</v>
      </c>
    </row>
    <row r="3" spans="1:1">
      <c r="A3" t="s">
        <v>29</v>
      </c>
    </row>
    <row r="4" spans="1:1">
      <c r="A4" t="s">
        <v>30</v>
      </c>
    </row>
    <row r="6" spans="1:1">
      <c r="A6">
        <f>_xlfn.POISSON.DIST(13,10,FALSE)</f>
        <v>7.2907946224436637E-2</v>
      </c>
    </row>
    <row r="7" spans="1:1">
      <c r="A7" s="4" t="s">
        <v>31</v>
      </c>
    </row>
    <row r="13" spans="1:1" ht="145">
      <c r="A13" s="13" t="s">
        <v>32</v>
      </c>
    </row>
    <row r="15" spans="1:1">
      <c r="A15" t="s">
        <v>33</v>
      </c>
    </row>
    <row r="16" spans="1:1">
      <c r="A16" t="s">
        <v>34</v>
      </c>
    </row>
    <row r="18" spans="1:2">
      <c r="A18" t="s">
        <v>35</v>
      </c>
      <c r="B18">
        <f>_xlfn.POISSON.DIST(120,100,TRUE)</f>
        <v>0.97733067092164738</v>
      </c>
    </row>
    <row r="19" spans="1:2">
      <c r="A19" t="s">
        <v>36</v>
      </c>
    </row>
    <row r="21" spans="1:2">
      <c r="A21" t="s">
        <v>37</v>
      </c>
    </row>
    <row r="23" spans="1:2">
      <c r="A23" t="s">
        <v>38</v>
      </c>
      <c r="B23">
        <f>_xlfn.POISSON.DIST(120,100,TRUE)</f>
        <v>0.97733067092164738</v>
      </c>
    </row>
    <row r="24" spans="1:2">
      <c r="A24">
        <f>1-B23</f>
        <v>2.2669329078352618E-2</v>
      </c>
      <c r="B24" s="10"/>
    </row>
    <row r="25" spans="1:2">
      <c r="A25" s="10">
        <v>2.2599999999999999E-2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49378-8802-4A89-9713-966058381DA6}">
  <dimension ref="A1:A19"/>
  <sheetViews>
    <sheetView workbookViewId="0">
      <selection activeCell="B22" sqref="B22"/>
    </sheetView>
  </sheetViews>
  <sheetFormatPr defaultRowHeight="14.5"/>
  <sheetData>
    <row r="1" spans="1:1" ht="20">
      <c r="A1" s="3" t="s">
        <v>39</v>
      </c>
    </row>
    <row r="2" spans="1:1">
      <c r="A2" t="s">
        <v>40</v>
      </c>
    </row>
    <row r="3" spans="1:1">
      <c r="A3" t="s">
        <v>41</v>
      </c>
    </row>
    <row r="4" spans="1:1">
      <c r="A4" t="s">
        <v>42</v>
      </c>
    </row>
    <row r="6" spans="1:1">
      <c r="A6" t="s">
        <v>43</v>
      </c>
    </row>
    <row r="7" spans="1:1">
      <c r="A7" t="s">
        <v>44</v>
      </c>
    </row>
    <row r="9" spans="1:1">
      <c r="A9" t="s">
        <v>45</v>
      </c>
    </row>
    <row r="10" spans="1:1">
      <c r="A10">
        <f>1-_xlfn.NORM.DIST(34,35,10,TRUE)</f>
        <v>0.53982783727702899</v>
      </c>
    </row>
    <row r="11" spans="1:1">
      <c r="A11" s="10">
        <v>0.53979999999999995</v>
      </c>
    </row>
    <row r="13" spans="1:1">
      <c r="A13" t="s">
        <v>46</v>
      </c>
    </row>
    <row r="14" spans="1:1">
      <c r="A14">
        <f>_xlfn.NORM.DIST(50,35,10,TRUE)</f>
        <v>0.93319279873114191</v>
      </c>
    </row>
    <row r="15" spans="1:1">
      <c r="A15" s="10">
        <v>0.93310000000000004</v>
      </c>
    </row>
    <row r="17" spans="1:1">
      <c r="A17" t="s">
        <v>47</v>
      </c>
    </row>
    <row r="18" spans="1:1">
      <c r="A18">
        <f>_xlfn.NORM.DIST(80,35,10,TRUE)-_xlfn.NORM.DIST(50,35,10,TRUE)</f>
        <v>6.6803803595733346E-2</v>
      </c>
    </row>
    <row r="19" spans="1:1">
      <c r="A19" s="10">
        <v>0.66800000000000004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93C3-C080-4DE2-AADF-9858AB783A5F}">
  <dimension ref="A23:S51"/>
  <sheetViews>
    <sheetView topLeftCell="A39" zoomScaleNormal="100" workbookViewId="0">
      <selection activeCell="J37" sqref="J37"/>
    </sheetView>
  </sheetViews>
  <sheetFormatPr defaultRowHeight="15" customHeight="1"/>
  <cols>
    <col min="1" max="1" width="36.54296875" bestFit="1" customWidth="1"/>
    <col min="2" max="2" width="17.1796875" customWidth="1"/>
    <col min="12" max="12" width="15.453125" customWidth="1"/>
    <col min="13" max="13" width="13.26953125" customWidth="1"/>
    <col min="14" max="14" width="14" customWidth="1"/>
    <col min="15" max="15" width="13.1796875" customWidth="1"/>
  </cols>
  <sheetData>
    <row r="23" spans="1:15" ht="14.5">
      <c r="B23" t="s">
        <v>48</v>
      </c>
      <c r="C23" t="s">
        <v>49</v>
      </c>
      <c r="D23" t="s">
        <v>50</v>
      </c>
      <c r="L23" t="s">
        <v>51</v>
      </c>
      <c r="M23" t="s">
        <v>52</v>
      </c>
      <c r="N23" t="s">
        <v>53</v>
      </c>
      <c r="O23" t="s">
        <v>54</v>
      </c>
    </row>
    <row r="24" spans="1:15" ht="14.5">
      <c r="B24">
        <v>16</v>
      </c>
      <c r="C24">
        <v>18</v>
      </c>
      <c r="D24">
        <v>26</v>
      </c>
      <c r="L24">
        <v>77</v>
      </c>
      <c r="M24">
        <v>74</v>
      </c>
      <c r="N24">
        <v>73</v>
      </c>
      <c r="O24">
        <v>76</v>
      </c>
    </row>
    <row r="25" spans="1:15" ht="14.5">
      <c r="B25">
        <v>15</v>
      </c>
      <c r="C25">
        <v>22</v>
      </c>
      <c r="D25">
        <v>31</v>
      </c>
      <c r="L25">
        <v>81</v>
      </c>
      <c r="M25">
        <v>66</v>
      </c>
      <c r="N25">
        <v>78</v>
      </c>
      <c r="O25">
        <v>85</v>
      </c>
    </row>
    <row r="26" spans="1:15" ht="14.5">
      <c r="B26">
        <v>13</v>
      </c>
      <c r="C26">
        <v>20</v>
      </c>
      <c r="D26">
        <v>24</v>
      </c>
      <c r="L26">
        <v>61</v>
      </c>
      <c r="M26">
        <v>58</v>
      </c>
      <c r="N26">
        <v>57</v>
      </c>
      <c r="O26">
        <v>77</v>
      </c>
    </row>
    <row r="27" spans="1:15" ht="14.5">
      <c r="B27">
        <v>21</v>
      </c>
      <c r="C27">
        <v>16</v>
      </c>
      <c r="D27">
        <v>30</v>
      </c>
      <c r="L27">
        <v>76</v>
      </c>
      <c r="N27">
        <v>69</v>
      </c>
      <c r="O27">
        <v>64</v>
      </c>
    </row>
    <row r="28" spans="1:15" ht="14.5">
      <c r="B28">
        <v>15</v>
      </c>
      <c r="C28">
        <v>24</v>
      </c>
      <c r="D28">
        <v>24</v>
      </c>
      <c r="L28">
        <v>69</v>
      </c>
      <c r="N28">
        <v>63</v>
      </c>
    </row>
    <row r="30" spans="1:15" ht="14.5">
      <c r="A30" t="s">
        <v>55</v>
      </c>
      <c r="B30">
        <f>SUM(B24:B28)</f>
        <v>80</v>
      </c>
      <c r="C30">
        <f t="shared" ref="C30:D30" si="0">SUM(C24:C28)</f>
        <v>100</v>
      </c>
      <c r="D30">
        <f t="shared" si="0"/>
        <v>135</v>
      </c>
      <c r="K30" t="s">
        <v>55</v>
      </c>
      <c r="L30">
        <f>SUM(L24:L28)</f>
        <v>364</v>
      </c>
      <c r="M30">
        <f t="shared" ref="M30:N30" si="1">SUM(M24:M28)</f>
        <v>198</v>
      </c>
      <c r="N30">
        <f t="shared" si="1"/>
        <v>340</v>
      </c>
      <c r="O30">
        <f>SUM(O24:O28)</f>
        <v>302</v>
      </c>
    </row>
    <row r="33" spans="2:19" ht="14.5">
      <c r="B33" t="s">
        <v>56</v>
      </c>
      <c r="L33" t="s">
        <v>56</v>
      </c>
    </row>
    <row r="35" spans="2:19" ht="15" customHeight="1" thickBot="1">
      <c r="B35" t="s">
        <v>57</v>
      </c>
      <c r="L35" t="s">
        <v>57</v>
      </c>
    </row>
    <row r="36" spans="2:19" ht="14.5">
      <c r="B36" s="8" t="s">
        <v>58</v>
      </c>
      <c r="C36" s="8" t="s">
        <v>59</v>
      </c>
      <c r="D36" s="8" t="s">
        <v>60</v>
      </c>
      <c r="E36" s="8" t="s">
        <v>61</v>
      </c>
      <c r="F36" s="8" t="s">
        <v>62</v>
      </c>
      <c r="L36" s="8" t="s">
        <v>58</v>
      </c>
      <c r="M36" s="8" t="s">
        <v>59</v>
      </c>
      <c r="N36" s="8" t="s">
        <v>60</v>
      </c>
      <c r="O36" s="8" t="s">
        <v>61</v>
      </c>
      <c r="P36" s="8" t="s">
        <v>62</v>
      </c>
    </row>
    <row r="37" spans="2:19" ht="14.5">
      <c r="B37" t="s">
        <v>48</v>
      </c>
      <c r="C37">
        <v>5</v>
      </c>
      <c r="D37">
        <v>80</v>
      </c>
      <c r="E37">
        <v>16</v>
      </c>
      <c r="F37">
        <v>9</v>
      </c>
      <c r="L37" t="s">
        <v>51</v>
      </c>
      <c r="M37">
        <v>5</v>
      </c>
      <c r="N37">
        <v>364</v>
      </c>
      <c r="O37">
        <v>72.8</v>
      </c>
      <c r="P37">
        <v>62.199999999999996</v>
      </c>
    </row>
    <row r="38" spans="2:19" ht="14.5">
      <c r="B38" t="s">
        <v>49</v>
      </c>
      <c r="C38">
        <v>5</v>
      </c>
      <c r="D38">
        <v>100</v>
      </c>
      <c r="E38">
        <v>20</v>
      </c>
      <c r="F38">
        <v>10</v>
      </c>
      <c r="L38" t="s">
        <v>52</v>
      </c>
      <c r="M38">
        <v>3</v>
      </c>
      <c r="N38">
        <v>198</v>
      </c>
      <c r="O38">
        <v>66</v>
      </c>
      <c r="P38">
        <v>64</v>
      </c>
    </row>
    <row r="39" spans="2:19" thickBot="1">
      <c r="B39" s="7" t="s">
        <v>50</v>
      </c>
      <c r="C39" s="7">
        <v>5</v>
      </c>
      <c r="D39" s="7">
        <v>135</v>
      </c>
      <c r="E39" s="7">
        <v>27</v>
      </c>
      <c r="F39" s="7">
        <v>11</v>
      </c>
      <c r="L39" t="s">
        <v>53</v>
      </c>
      <c r="M39">
        <v>5</v>
      </c>
      <c r="N39">
        <v>340</v>
      </c>
      <c r="O39">
        <v>68</v>
      </c>
      <c r="P39">
        <v>68</v>
      </c>
    </row>
    <row r="40" spans="2:19" thickBot="1">
      <c r="L40" s="7" t="s">
        <v>54</v>
      </c>
      <c r="M40" s="7">
        <v>4</v>
      </c>
      <c r="N40" s="7">
        <v>302</v>
      </c>
      <c r="O40" s="7">
        <v>75.5</v>
      </c>
      <c r="P40" s="7">
        <v>75</v>
      </c>
    </row>
    <row r="42" spans="2:19" thickBot="1">
      <c r="B42" t="s">
        <v>63</v>
      </c>
    </row>
    <row r="43" spans="2:19" thickBot="1">
      <c r="B43" s="8" t="s">
        <v>64</v>
      </c>
      <c r="C43" s="8" t="s">
        <v>65</v>
      </c>
      <c r="D43" s="8" t="s">
        <v>66</v>
      </c>
      <c r="E43" s="8" t="s">
        <v>67</v>
      </c>
      <c r="F43" s="8" t="s">
        <v>68</v>
      </c>
      <c r="G43" s="8" t="s">
        <v>69</v>
      </c>
      <c r="H43" s="8" t="s">
        <v>70</v>
      </c>
      <c r="L43" t="s">
        <v>63</v>
      </c>
    </row>
    <row r="44" spans="2:19" ht="14.5">
      <c r="B44" t="s">
        <v>71</v>
      </c>
      <c r="C44">
        <v>310</v>
      </c>
      <c r="D44">
        <v>2</v>
      </c>
      <c r="E44">
        <v>155</v>
      </c>
      <c r="F44">
        <v>15.5</v>
      </c>
      <c r="G44">
        <v>4.7236394696114871E-4</v>
      </c>
      <c r="H44">
        <v>6.9266081401913002</v>
      </c>
      <c r="L44" s="8" t="s">
        <v>64</v>
      </c>
      <c r="M44" s="8" t="s">
        <v>65</v>
      </c>
      <c r="N44" s="8" t="s">
        <v>66</v>
      </c>
      <c r="O44" s="8" t="s">
        <v>67</v>
      </c>
      <c r="P44" s="8" t="s">
        <v>68</v>
      </c>
      <c r="Q44" s="8" t="s">
        <v>69</v>
      </c>
      <c r="R44" s="8"/>
      <c r="S44" s="8" t="s">
        <v>70</v>
      </c>
    </row>
    <row r="45" spans="2:19" ht="14.5">
      <c r="B45" t="s">
        <v>72</v>
      </c>
      <c r="C45">
        <v>120</v>
      </c>
      <c r="D45">
        <v>12</v>
      </c>
      <c r="E45">
        <v>10</v>
      </c>
      <c r="L45" t="s">
        <v>71</v>
      </c>
      <c r="M45">
        <v>216.67058823529396</v>
      </c>
      <c r="N45">
        <v>3</v>
      </c>
      <c r="O45">
        <v>72.223529411764659</v>
      </c>
      <c r="P45">
        <v>1.0745089063320448</v>
      </c>
      <c r="Q45">
        <v>0.39394779020412707</v>
      </c>
      <c r="S45">
        <v>3.4105336446278485</v>
      </c>
    </row>
    <row r="46" spans="2:19" ht="14.5">
      <c r="L46" t="s">
        <v>72</v>
      </c>
      <c r="M46">
        <v>873.8</v>
      </c>
      <c r="N46">
        <v>13</v>
      </c>
      <c r="O46">
        <v>67.215384615384608</v>
      </c>
    </row>
    <row r="47" spans="2:19" thickBot="1">
      <c r="B47" s="7" t="s">
        <v>73</v>
      </c>
      <c r="C47" s="7">
        <v>430</v>
      </c>
      <c r="D47" s="7">
        <v>14</v>
      </c>
      <c r="E47" s="7"/>
      <c r="F47" s="7"/>
      <c r="G47" s="7"/>
      <c r="H47" s="7"/>
    </row>
    <row r="48" spans="2:19" thickBot="1">
      <c r="L48" s="7" t="s">
        <v>73</v>
      </c>
      <c r="M48" s="7">
        <v>1090.4705882352939</v>
      </c>
      <c r="N48" s="7">
        <v>16</v>
      </c>
      <c r="O48" s="7"/>
      <c r="P48" s="7"/>
      <c r="Q48" s="7"/>
      <c r="R48" s="7"/>
      <c r="S48" s="7"/>
    </row>
    <row r="50" spans="1:13" ht="116">
      <c r="A50" s="11" t="s">
        <v>74</v>
      </c>
      <c r="B50" s="4"/>
      <c r="C50" s="4"/>
      <c r="D50" s="4"/>
      <c r="E50" s="4"/>
      <c r="F50" s="4"/>
      <c r="L50" s="11" t="s">
        <v>75</v>
      </c>
      <c r="M50" s="4"/>
    </row>
    <row r="51" spans="1:13" ht="14.5">
      <c r="A51" s="4"/>
      <c r="B51" s="4" t="s">
        <v>76</v>
      </c>
      <c r="C51" s="4"/>
      <c r="D51" s="4"/>
      <c r="E51" s="4"/>
      <c r="F51" s="4"/>
      <c r="L51" s="4"/>
      <c r="M51" s="4" t="s">
        <v>77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F58AA-2966-4AFF-8EBB-130B73D2549C}">
  <dimension ref="A23:F47"/>
  <sheetViews>
    <sheetView topLeftCell="B32" zoomScaleNormal="100" workbookViewId="0">
      <selection activeCell="F56" sqref="F56"/>
    </sheetView>
  </sheetViews>
  <sheetFormatPr defaultRowHeight="14.5"/>
  <cols>
    <col min="2" max="2" width="13.1796875" customWidth="1"/>
    <col min="3" max="3" width="14.26953125" customWidth="1"/>
  </cols>
  <sheetData>
    <row r="23" spans="1:6">
      <c r="B23" s="4" t="s">
        <v>78</v>
      </c>
      <c r="C23" s="4" t="s">
        <v>79</v>
      </c>
      <c r="D23" s="4" t="s">
        <v>80</v>
      </c>
      <c r="E23" s="4" t="s">
        <v>81</v>
      </c>
      <c r="F23" s="4" t="s">
        <v>82</v>
      </c>
    </row>
    <row r="24" spans="1:6">
      <c r="A24" s="4" t="s">
        <v>83</v>
      </c>
      <c r="B24">
        <v>60</v>
      </c>
      <c r="C24">
        <v>54</v>
      </c>
      <c r="D24">
        <v>46</v>
      </c>
      <c r="E24">
        <v>41</v>
      </c>
      <c r="F24">
        <f>SUM(B24:E24)</f>
        <v>201</v>
      </c>
    </row>
    <row r="25" spans="1:6">
      <c r="A25" s="4" t="s">
        <v>84</v>
      </c>
      <c r="B25">
        <v>40</v>
      </c>
      <c r="C25">
        <v>44</v>
      </c>
      <c r="D25">
        <v>53</v>
      </c>
      <c r="E25">
        <v>57</v>
      </c>
      <c r="F25">
        <f t="shared" ref="F25:F26" si="0">SUM(B25:E25)</f>
        <v>194</v>
      </c>
    </row>
    <row r="26" spans="1:6">
      <c r="A26" s="4" t="s">
        <v>82</v>
      </c>
      <c r="B26">
        <f>SUM(B24,B25)</f>
        <v>100</v>
      </c>
      <c r="C26">
        <f t="shared" ref="C26:E26" si="1">SUM(C24,C25)</f>
        <v>98</v>
      </c>
      <c r="D26">
        <f t="shared" si="1"/>
        <v>99</v>
      </c>
      <c r="E26">
        <f t="shared" si="1"/>
        <v>98</v>
      </c>
      <c r="F26">
        <f t="shared" si="0"/>
        <v>395</v>
      </c>
    </row>
    <row r="29" spans="1:6">
      <c r="B29" s="4" t="s">
        <v>85</v>
      </c>
    </row>
    <row r="30" spans="1:6">
      <c r="A30" s="4" t="s">
        <v>83</v>
      </c>
      <c r="B30">
        <f>F24*B26/F26</f>
        <v>50.88607594936709</v>
      </c>
      <c r="C30">
        <f>F24*C26/F26</f>
        <v>49.868354430379746</v>
      </c>
      <c r="D30">
        <f>F24*D26/F26</f>
        <v>50.377215189873418</v>
      </c>
      <c r="E30">
        <f>F24*E26/F26</f>
        <v>49.868354430379746</v>
      </c>
      <c r="F30">
        <f>SUM(B30:E30)</f>
        <v>201</v>
      </c>
    </row>
    <row r="31" spans="1:6">
      <c r="A31" s="4" t="s">
        <v>84</v>
      </c>
      <c r="B31">
        <f>F25*B26/F26</f>
        <v>49.11392405063291</v>
      </c>
      <c r="C31">
        <f>F25*C26/F26</f>
        <v>48.131645569620254</v>
      </c>
      <c r="D31">
        <f>F25*D26/F26</f>
        <v>48.622784810126582</v>
      </c>
      <c r="E31">
        <f>F25*E26/F26</f>
        <v>48.131645569620254</v>
      </c>
      <c r="F31">
        <f>SUM(B31:E31)</f>
        <v>194</v>
      </c>
    </row>
    <row r="33" spans="1:6">
      <c r="B33" s="4" t="s">
        <v>86</v>
      </c>
      <c r="C33" s="4" t="s">
        <v>87</v>
      </c>
      <c r="D33" s="4" t="s">
        <v>88</v>
      </c>
      <c r="E33" s="4" t="s">
        <v>89</v>
      </c>
      <c r="F33" s="4" t="s">
        <v>90</v>
      </c>
    </row>
    <row r="34" spans="1:6">
      <c r="B34">
        <v>60</v>
      </c>
      <c r="C34">
        <v>50.89</v>
      </c>
      <c r="D34">
        <f>C34-B34</f>
        <v>-9.11</v>
      </c>
      <c r="E34">
        <f>(D34*D34)</f>
        <v>82.992099999999994</v>
      </c>
      <c r="F34">
        <f>E34/C34</f>
        <v>1.6308135193554725</v>
      </c>
    </row>
    <row r="35" spans="1:6">
      <c r="B35">
        <v>54</v>
      </c>
      <c r="C35">
        <v>49.86</v>
      </c>
      <c r="D35">
        <f t="shared" ref="D35:D41" si="2">C35-B35</f>
        <v>-4.1400000000000006</v>
      </c>
      <c r="E35">
        <f t="shared" ref="E35:E41" si="3">(D35*D35)</f>
        <v>17.139600000000005</v>
      </c>
      <c r="F35">
        <f t="shared" ref="F35:F41" si="4">E35/C35</f>
        <v>0.34375451263537915</v>
      </c>
    </row>
    <row r="36" spans="1:6">
      <c r="B36">
        <v>46</v>
      </c>
      <c r="C36">
        <v>50.37</v>
      </c>
      <c r="D36">
        <f t="shared" si="2"/>
        <v>4.3699999999999974</v>
      </c>
      <c r="E36">
        <f t="shared" si="3"/>
        <v>19.096899999999977</v>
      </c>
      <c r="F36">
        <f t="shared" si="4"/>
        <v>0.37913242009132375</v>
      </c>
    </row>
    <row r="37" spans="1:6">
      <c r="B37">
        <v>41</v>
      </c>
      <c r="C37">
        <v>49.86</v>
      </c>
      <c r="D37">
        <f t="shared" si="2"/>
        <v>8.86</v>
      </c>
      <c r="E37">
        <f t="shared" si="3"/>
        <v>78.499599999999987</v>
      </c>
      <c r="F37">
        <f t="shared" si="4"/>
        <v>1.5744003208985156</v>
      </c>
    </row>
    <row r="38" spans="1:6">
      <c r="B38">
        <v>40</v>
      </c>
      <c r="C38">
        <v>49.11</v>
      </c>
      <c r="D38">
        <f t="shared" si="2"/>
        <v>9.11</v>
      </c>
      <c r="E38">
        <f t="shared" si="3"/>
        <v>82.992099999999994</v>
      </c>
      <c r="F38">
        <f t="shared" si="4"/>
        <v>1.6899226226837709</v>
      </c>
    </row>
    <row r="39" spans="1:6">
      <c r="B39">
        <v>44</v>
      </c>
      <c r="C39">
        <v>48.13</v>
      </c>
      <c r="D39">
        <f t="shared" si="2"/>
        <v>4.1300000000000026</v>
      </c>
      <c r="E39">
        <f t="shared" si="3"/>
        <v>17.05690000000002</v>
      </c>
      <c r="F39">
        <f t="shared" si="4"/>
        <v>0.3543922709328905</v>
      </c>
    </row>
    <row r="40" spans="1:6">
      <c r="B40">
        <v>53</v>
      </c>
      <c r="C40">
        <v>48.62</v>
      </c>
      <c r="D40">
        <f t="shared" si="2"/>
        <v>-4.3800000000000026</v>
      </c>
      <c r="E40">
        <f t="shared" si="3"/>
        <v>19.184400000000021</v>
      </c>
      <c r="F40">
        <f t="shared" si="4"/>
        <v>0.39457836281365738</v>
      </c>
    </row>
    <row r="41" spans="1:6">
      <c r="B41">
        <v>57</v>
      </c>
      <c r="C41">
        <v>48.13</v>
      </c>
      <c r="D41">
        <f t="shared" si="2"/>
        <v>-8.8699999999999974</v>
      </c>
      <c r="E41">
        <f t="shared" si="3"/>
        <v>78.676899999999961</v>
      </c>
      <c r="F41">
        <f t="shared" si="4"/>
        <v>1.6346748389777677</v>
      </c>
    </row>
    <row r="42" spans="1:6">
      <c r="A42" t="s">
        <v>55</v>
      </c>
      <c r="F42">
        <f>SUM(F34:F41)</f>
        <v>8.0016688683887764</v>
      </c>
    </row>
    <row r="44" spans="1:6">
      <c r="B44" s="4" t="s">
        <v>91</v>
      </c>
      <c r="D44" t="s">
        <v>92</v>
      </c>
      <c r="E44" t="s">
        <v>93</v>
      </c>
    </row>
    <row r="45" spans="1:6">
      <c r="E45" t="s">
        <v>94</v>
      </c>
    </row>
    <row r="46" spans="1:6">
      <c r="B46" s="4" t="s">
        <v>95</v>
      </c>
      <c r="E46">
        <v>0.05</v>
      </c>
    </row>
    <row r="47" spans="1:6">
      <c r="B47" s="4" t="s">
        <v>96</v>
      </c>
      <c r="E47" s="4">
        <v>7.8150000000000004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C5E3-FF03-4AB4-869B-A49034CF9077}">
  <dimension ref="A12:H25"/>
  <sheetViews>
    <sheetView topLeftCell="A12" workbookViewId="0">
      <selection activeCell="F22" sqref="F22"/>
    </sheetView>
  </sheetViews>
  <sheetFormatPr defaultRowHeight="14.5"/>
  <cols>
    <col min="1" max="1" width="36.54296875" bestFit="1" customWidth="1"/>
  </cols>
  <sheetData>
    <row r="12" spans="2:8" ht="19" thickBot="1">
      <c r="B12" s="5" t="s">
        <v>97</v>
      </c>
      <c r="C12" s="5" t="s">
        <v>98</v>
      </c>
    </row>
    <row r="13" spans="2:8" ht="18.5">
      <c r="B13" s="6">
        <v>20</v>
      </c>
      <c r="C13" s="6">
        <v>30</v>
      </c>
      <c r="F13" s="8"/>
      <c r="G13" s="8" t="s">
        <v>97</v>
      </c>
      <c r="H13" s="8" t="s">
        <v>98</v>
      </c>
    </row>
    <row r="14" spans="2:8" ht="18.5">
      <c r="B14" s="6">
        <v>23</v>
      </c>
      <c r="C14" s="6">
        <v>35</v>
      </c>
      <c r="F14" t="s">
        <v>97</v>
      </c>
      <c r="G14">
        <v>1</v>
      </c>
    </row>
    <row r="15" spans="2:8" ht="19" thickBot="1">
      <c r="B15" s="6">
        <v>8</v>
      </c>
      <c r="C15" s="6">
        <v>21</v>
      </c>
      <c r="F15" s="7" t="s">
        <v>98</v>
      </c>
      <c r="G15" s="7">
        <v>0.71000000000000008</v>
      </c>
      <c r="H15" s="7">
        <v>1</v>
      </c>
    </row>
    <row r="16" spans="2:8" ht="18.5">
      <c r="B16" s="6">
        <v>29</v>
      </c>
      <c r="C16" s="6">
        <v>33</v>
      </c>
    </row>
    <row r="17" spans="1:3" ht="18.5">
      <c r="B17" s="6">
        <v>14</v>
      </c>
      <c r="C17" s="6">
        <v>33</v>
      </c>
    </row>
    <row r="18" spans="1:3" ht="18.5">
      <c r="B18" s="6">
        <v>11</v>
      </c>
      <c r="C18" s="6">
        <v>26</v>
      </c>
    </row>
    <row r="19" spans="1:3" ht="18.5">
      <c r="B19" s="6">
        <v>11</v>
      </c>
      <c r="C19" s="6">
        <v>22</v>
      </c>
    </row>
    <row r="20" spans="1:3" ht="18.5">
      <c r="B20" s="6">
        <v>20</v>
      </c>
      <c r="C20" s="6">
        <v>31</v>
      </c>
    </row>
    <row r="21" spans="1:3" ht="18.5">
      <c r="B21" s="6">
        <v>17</v>
      </c>
      <c r="C21" s="6">
        <v>33</v>
      </c>
    </row>
    <row r="22" spans="1:3" ht="18.5">
      <c r="B22" s="6">
        <v>17</v>
      </c>
      <c r="C22" s="6">
        <v>36</v>
      </c>
    </row>
    <row r="25" spans="1:3" ht="29">
      <c r="A25" s="11" t="s">
        <v>99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F771-DA21-4DC2-9A92-919953703BA9}">
  <dimension ref="B8:Q39"/>
  <sheetViews>
    <sheetView tabSelected="1" topLeftCell="H1" workbookViewId="0">
      <selection activeCell="I9" sqref="I9"/>
    </sheetView>
  </sheetViews>
  <sheetFormatPr defaultRowHeight="14.5"/>
  <cols>
    <col min="9" max="9" width="22.81640625" customWidth="1"/>
    <col min="10" max="10" width="15.7265625" customWidth="1"/>
    <col min="11" max="11" width="12.26953125" customWidth="1"/>
    <col min="12" max="12" width="12.7265625" customWidth="1"/>
    <col min="14" max="14" width="11.54296875" customWidth="1"/>
    <col min="15" max="15" width="11.26953125" customWidth="1"/>
    <col min="16" max="16" width="11.7265625" customWidth="1"/>
    <col min="17" max="17" width="11.81640625" customWidth="1"/>
  </cols>
  <sheetData>
    <row r="8" spans="9:10">
      <c r="I8" t="s">
        <v>100</v>
      </c>
    </row>
    <row r="9" spans="9:10" ht="15" thickBot="1"/>
    <row r="10" spans="9:10">
      <c r="I10" s="9" t="s">
        <v>101</v>
      </c>
      <c r="J10" s="9"/>
    </row>
    <row r="11" spans="9:10">
      <c r="I11" t="s">
        <v>102</v>
      </c>
      <c r="J11">
        <v>0.99751633241723603</v>
      </c>
    </row>
    <row r="12" spans="9:10">
      <c r="I12" t="s">
        <v>103</v>
      </c>
      <c r="J12">
        <v>0.99503883343913369</v>
      </c>
    </row>
    <row r="13" spans="9:10">
      <c r="I13" t="s">
        <v>104</v>
      </c>
      <c r="J13">
        <v>0.99421197234565595</v>
      </c>
    </row>
    <row r="14" spans="9:10">
      <c r="I14" t="s">
        <v>105</v>
      </c>
      <c r="J14">
        <v>0.59381735206968067</v>
      </c>
    </row>
    <row r="15" spans="9:10" ht="15" thickBot="1">
      <c r="I15" s="7" t="s">
        <v>106</v>
      </c>
      <c r="J15" s="7">
        <v>8</v>
      </c>
    </row>
    <row r="17" spans="2:17" ht="15" thickBot="1">
      <c r="I17" t="s">
        <v>63</v>
      </c>
    </row>
    <row r="18" spans="2:17">
      <c r="B18" s="4" t="s">
        <v>107</v>
      </c>
      <c r="C18" s="4" t="s">
        <v>108</v>
      </c>
      <c r="D18" t="s">
        <v>109</v>
      </c>
      <c r="I18" s="8"/>
      <c r="J18" s="8" t="s">
        <v>66</v>
      </c>
      <c r="K18" s="8" t="s">
        <v>65</v>
      </c>
      <c r="L18" s="8" t="s">
        <v>67</v>
      </c>
      <c r="M18" s="8" t="s">
        <v>68</v>
      </c>
      <c r="N18" s="8" t="s">
        <v>110</v>
      </c>
    </row>
    <row r="19" spans="2:17">
      <c r="B19">
        <v>1</v>
      </c>
      <c r="C19">
        <v>7</v>
      </c>
      <c r="D19">
        <f>(J25*B19)+J24</f>
        <v>7.3999999999999968</v>
      </c>
      <c r="I19" t="s">
        <v>111</v>
      </c>
      <c r="J19">
        <v>1</v>
      </c>
      <c r="K19">
        <v>424.33928571428572</v>
      </c>
      <c r="L19">
        <v>424.33928571428572</v>
      </c>
      <c r="M19">
        <v>1203.39297771776</v>
      </c>
      <c r="N19">
        <v>3.8230597106600434E-8</v>
      </c>
    </row>
    <row r="20" spans="2:17">
      <c r="B20">
        <v>2</v>
      </c>
      <c r="C20">
        <v>11.1</v>
      </c>
      <c r="D20">
        <f>(J26*B20)+J25</f>
        <v>3.1785714285714288</v>
      </c>
      <c r="I20" t="s">
        <v>112</v>
      </c>
      <c r="J20">
        <v>6</v>
      </c>
      <c r="K20">
        <v>2.1157142857142825</v>
      </c>
      <c r="L20">
        <v>0.35261904761904711</v>
      </c>
    </row>
    <row r="21" spans="2:17" ht="15" thickBot="1">
      <c r="B21">
        <v>3</v>
      </c>
      <c r="C21">
        <v>14</v>
      </c>
      <c r="D21">
        <f>(J25*B21)+J24</f>
        <v>13.757142857142854</v>
      </c>
      <c r="I21" s="7" t="s">
        <v>73</v>
      </c>
      <c r="J21" s="7">
        <v>7</v>
      </c>
      <c r="K21" s="7">
        <v>426.45499999999998</v>
      </c>
      <c r="L21" s="7"/>
      <c r="M21" s="7"/>
      <c r="N21" s="7"/>
    </row>
    <row r="22" spans="2:17" ht="15" thickBot="1">
      <c r="B22">
        <v>4</v>
      </c>
      <c r="C22">
        <v>16.2</v>
      </c>
      <c r="D22">
        <f>(J25*B22)+J24</f>
        <v>16.935714285714283</v>
      </c>
    </row>
    <row r="23" spans="2:17">
      <c r="B23">
        <v>5</v>
      </c>
      <c r="C23">
        <v>20</v>
      </c>
      <c r="D23">
        <f>(J25*B23)+J24</f>
        <v>20.114285714285714</v>
      </c>
      <c r="I23" s="8"/>
      <c r="J23" s="8" t="s">
        <v>113</v>
      </c>
      <c r="K23" s="8" t="s">
        <v>105</v>
      </c>
      <c r="L23" s="8" t="s">
        <v>114</v>
      </c>
      <c r="M23" s="8" t="s">
        <v>69</v>
      </c>
      <c r="N23" s="8" t="s">
        <v>115</v>
      </c>
      <c r="O23" s="8" t="s">
        <v>116</v>
      </c>
      <c r="P23" s="8" t="s">
        <v>117</v>
      </c>
      <c r="Q23" s="8" t="s">
        <v>118</v>
      </c>
    </row>
    <row r="24" spans="2:17">
      <c r="B24">
        <v>6</v>
      </c>
      <c r="C24">
        <v>23.9</v>
      </c>
      <c r="D24">
        <f>(J25*B24)+J24</f>
        <v>23.292857142857141</v>
      </c>
      <c r="I24" t="s">
        <v>119</v>
      </c>
      <c r="J24">
        <v>4.221428571428568</v>
      </c>
      <c r="K24">
        <v>0.46269875302881619</v>
      </c>
      <c r="L24">
        <v>9.1234924317283905</v>
      </c>
      <c r="M24">
        <v>9.7480723861957959E-5</v>
      </c>
      <c r="N24">
        <v>3.0892455091323585</v>
      </c>
      <c r="O24">
        <v>5.3536116337247774</v>
      </c>
      <c r="P24">
        <v>3.0892455091323585</v>
      </c>
      <c r="Q24">
        <v>5.3536116337247774</v>
      </c>
    </row>
    <row r="25" spans="2:17" ht="15" thickBot="1">
      <c r="B25">
        <v>7</v>
      </c>
      <c r="C25">
        <v>27</v>
      </c>
      <c r="D25">
        <f>(J25*B25)+J24</f>
        <v>26.471428571428568</v>
      </c>
      <c r="I25" s="7" t="s">
        <v>107</v>
      </c>
      <c r="J25" s="7">
        <v>3.1785714285714288</v>
      </c>
      <c r="K25" s="7">
        <v>9.1628006689970676E-2</v>
      </c>
      <c r="L25" s="7">
        <v>34.689954997344124</v>
      </c>
      <c r="M25" s="7">
        <v>3.8230597106600434E-8</v>
      </c>
      <c r="N25" s="7">
        <v>2.9543657731049491</v>
      </c>
      <c r="O25" s="7">
        <v>3.4027770840379086</v>
      </c>
      <c r="P25" s="7">
        <v>2.9543657731049491</v>
      </c>
      <c r="Q25" s="7">
        <v>3.4027770840379086</v>
      </c>
    </row>
    <row r="26" spans="2:17">
      <c r="B26">
        <v>8</v>
      </c>
      <c r="C26">
        <v>29</v>
      </c>
      <c r="D26">
        <f>(J25*B26)+J24</f>
        <v>29.65</v>
      </c>
    </row>
    <row r="28" spans="2:17">
      <c r="B28">
        <f>SUM(B19:B26)</f>
        <v>36</v>
      </c>
      <c r="D28">
        <f>SUM(D19:D26)</f>
        <v>140.79999999999998</v>
      </c>
    </row>
    <row r="29" spans="2:17">
      <c r="I29" t="s">
        <v>120</v>
      </c>
    </row>
    <row r="30" spans="2:17" ht="15" thickBot="1"/>
    <row r="31" spans="2:17">
      <c r="I31" s="8" t="s">
        <v>121</v>
      </c>
      <c r="J31" s="8" t="s">
        <v>122</v>
      </c>
      <c r="K31" s="8" t="s">
        <v>123</v>
      </c>
    </row>
    <row r="32" spans="2:17">
      <c r="I32">
        <v>1</v>
      </c>
      <c r="J32">
        <v>7.3999999999999968</v>
      </c>
      <c r="K32">
        <v>-0.3999999999999968</v>
      </c>
    </row>
    <row r="33" spans="9:11">
      <c r="I33">
        <v>2</v>
      </c>
      <c r="J33">
        <v>10.578571428571426</v>
      </c>
      <c r="K33">
        <v>0.52142857142857402</v>
      </c>
    </row>
    <row r="34" spans="9:11">
      <c r="I34">
        <v>3</v>
      </c>
      <c r="J34">
        <v>13.757142857142854</v>
      </c>
      <c r="K34">
        <v>0.24285714285714555</v>
      </c>
    </row>
    <row r="35" spans="9:11">
      <c r="I35">
        <v>4</v>
      </c>
      <c r="J35">
        <v>16.935714285714283</v>
      </c>
      <c r="K35">
        <v>-0.73571428571428399</v>
      </c>
    </row>
    <row r="36" spans="9:11">
      <c r="I36">
        <v>5</v>
      </c>
      <c r="J36">
        <v>20.114285714285714</v>
      </c>
      <c r="K36">
        <v>-0.11428571428571388</v>
      </c>
    </row>
    <row r="37" spans="9:11">
      <c r="I37">
        <v>6</v>
      </c>
      <c r="J37">
        <v>23.292857142857141</v>
      </c>
      <c r="K37">
        <v>0.60714285714285765</v>
      </c>
    </row>
    <row r="38" spans="9:11">
      <c r="I38">
        <v>7</v>
      </c>
      <c r="J38">
        <v>26.471428571428568</v>
      </c>
      <c r="K38">
        <v>0.52857142857143202</v>
      </c>
    </row>
    <row r="39" spans="9:11" ht="15" thickBot="1">
      <c r="I39" s="7">
        <v>8</v>
      </c>
      <c r="J39" s="7">
        <v>29.65</v>
      </c>
      <c r="K39" s="7">
        <v>-0.64999999999999858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Binomial</vt:lpstr>
      <vt:lpstr>rank correlation</vt:lpstr>
      <vt:lpstr>Poisson </vt:lpstr>
      <vt:lpstr>Normal</vt:lpstr>
      <vt:lpstr>ANOVA</vt:lpstr>
      <vt:lpstr>Chi-square</vt:lpstr>
      <vt:lpstr>Correlation</vt:lpstr>
      <vt:lpstr>Regression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KIRUBA NAGINI</dc:creator>
  <cp:keywords/>
  <dc:description/>
  <cp:lastModifiedBy>rochanarbhat@gmail.com</cp:lastModifiedBy>
  <cp:revision/>
  <dcterms:created xsi:type="dcterms:W3CDTF">2015-06-05T18:17:20Z</dcterms:created>
  <dcterms:modified xsi:type="dcterms:W3CDTF">2025-10-19T17:28:08Z</dcterms:modified>
  <cp:category/>
  <cp:contentStatus/>
</cp:coreProperties>
</file>