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xcel Business Analytics\"/>
    </mc:Choice>
  </mc:AlternateContent>
  <xr:revisionPtr revIDLastSave="0" documentId="13_ncr:1_{49D1BE70-DC69-4406-B987-F7BE708FEE73}" xr6:coauthVersionLast="47" xr6:coauthVersionMax="47" xr10:uidLastSave="{00000000-0000-0000-0000-000000000000}"/>
  <bookViews>
    <workbookView xWindow="-110" yWindow="-110" windowWidth="19420" windowHeight="10300" xr2:uid="{7139447B-1F67-4383-814D-AAB01A77E5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29" i="1" l="1"/>
  <c r="O30" i="1"/>
  <c r="O28" i="1"/>
  <c r="L29" i="1"/>
  <c r="L30" i="1"/>
  <c r="L31" i="1"/>
  <c r="L32" i="1"/>
  <c r="L28" i="1"/>
  <c r="I29" i="1"/>
  <c r="I30" i="1"/>
  <c r="I31" i="1"/>
  <c r="I32" i="1"/>
  <c r="I28" i="1"/>
  <c r="F29" i="1"/>
  <c r="F30" i="1"/>
  <c r="F31" i="1"/>
  <c r="F32" i="1"/>
  <c r="F28" i="1"/>
  <c r="C29" i="1"/>
  <c r="C30" i="1"/>
  <c r="C31" i="1"/>
  <c r="C32" i="1"/>
  <c r="C28" i="1"/>
  <c r="M13" i="1"/>
  <c r="J13" i="1"/>
  <c r="G13" i="1"/>
  <c r="D13" i="1"/>
  <c r="B13" i="1"/>
  <c r="M12" i="1"/>
  <c r="J12" i="1"/>
  <c r="G12" i="1"/>
  <c r="D12" i="1"/>
  <c r="B12" i="1"/>
  <c r="M11" i="1"/>
  <c r="J11" i="1"/>
  <c r="G11" i="1"/>
  <c r="D11" i="1"/>
  <c r="B11" i="1"/>
  <c r="M10" i="1"/>
  <c r="J10" i="1"/>
  <c r="G10" i="1"/>
  <c r="D10" i="1"/>
  <c r="B10" i="1"/>
  <c r="M9" i="1"/>
  <c r="J9" i="1"/>
  <c r="G9" i="1"/>
  <c r="D9" i="1"/>
  <c r="B9" i="1"/>
</calcChain>
</file>

<file path=xl/sharedStrings.xml><?xml version="1.0" encoding="utf-8"?>
<sst xmlns="http://schemas.openxmlformats.org/spreadsheetml/2006/main" count="19" uniqueCount="10">
  <si>
    <t>Depreciation</t>
  </si>
  <si>
    <t>Cost</t>
  </si>
  <si>
    <t xml:space="preserve">salvage </t>
  </si>
  <si>
    <t>Useful life</t>
  </si>
  <si>
    <t>Straight line  method</t>
  </si>
  <si>
    <t>Sum of Years Digits method</t>
  </si>
  <si>
    <t xml:space="preserve">Declining Balance method </t>
  </si>
  <si>
    <t>Double Declining method</t>
  </si>
  <si>
    <t>Variable Declining method</t>
  </si>
  <si>
    <t>Period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</si>
</sst>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/>
    <xf numFmtId="0" fontId="0" fillId="0" borderId="1" xfId="0" applyBorder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D2413F-0587-460A-9DCA-C499EE1BCE37}">
  <dimension ref="A6:O32"/>
  <sheetViews>
    <sheetView tabSelected="1" topLeftCell="A17" workbookViewId="0">
      <selection activeCell="O33" sqref="O33"/>
    </sheetView>
  </sheetViews>
  <sheetFormatPr defaultRowHeight="14.5" x14ac:dyDescent="0.35"/>
  <cols>
    <col min="4" max="4" width="9.453125" bestFit="1" customWidth="1"/>
    <col min="6" max="6" width="9.26953125" bestFit="1" customWidth="1"/>
    <col min="7" max="7" width="9.453125" bestFit="1" customWidth="1"/>
    <col min="9" max="9" width="9.26953125" bestFit="1" customWidth="1"/>
    <col min="10" max="10" width="9.453125" bestFit="1" customWidth="1"/>
    <col min="12" max="12" width="9.26953125" bestFit="1" customWidth="1"/>
    <col min="13" max="13" width="9.453125" bestFit="1" customWidth="1"/>
    <col min="15" max="15" width="9.26953125" bestFit="1" customWidth="1"/>
  </cols>
  <sheetData>
    <row r="6" spans="1:13" x14ac:dyDescent="0.35">
      <c r="A6" s="1" t="s">
        <v>4</v>
      </c>
      <c r="D6" s="1" t="s">
        <v>5</v>
      </c>
      <c r="G6" s="1" t="s">
        <v>6</v>
      </c>
      <c r="J6" s="1" t="s">
        <v>7</v>
      </c>
      <c r="M6" s="1" t="s">
        <v>8</v>
      </c>
    </row>
    <row r="8" spans="1:13" x14ac:dyDescent="0.35">
      <c r="A8" s="1" t="s">
        <v>9</v>
      </c>
    </row>
    <row r="9" spans="1:13" x14ac:dyDescent="0.35">
      <c r="A9">
        <v>1</v>
      </c>
      <c r="B9" s="4">
        <f>SLN($B$21,$B$22,$B$23)</f>
        <v>900</v>
      </c>
      <c r="D9" s="4">
        <f>SYD($B$21,$B$22,$B$23,A9)</f>
        <v>1500</v>
      </c>
      <c r="G9" s="4">
        <f>DB($B$21,$B$22,$B$23,A9)</f>
        <v>1845</v>
      </c>
      <c r="J9" s="4">
        <f>DDB($B$21,$B$22,$B$23,A9,2)</f>
        <v>2000</v>
      </c>
      <c r="M9" s="4">
        <f>VDB($B$21,$B$22,$B$23,A9,A11)</f>
        <v>1920</v>
      </c>
    </row>
    <row r="10" spans="1:13" x14ac:dyDescent="0.35">
      <c r="A10">
        <v>2</v>
      </c>
      <c r="B10" s="4">
        <f>SLN($B$21,$B$22,$B$23)</f>
        <v>900</v>
      </c>
      <c r="D10" s="4">
        <f>SYD($B$21,$B$22,$B$23,A10)</f>
        <v>1200</v>
      </c>
      <c r="G10" s="4">
        <f>DB($B$21,$B$22,$B$23,A10)</f>
        <v>1164.1949999999999</v>
      </c>
      <c r="J10" s="4">
        <f>DDB($B$21,$B$22,$B$23,A10,2)</f>
        <v>1200</v>
      </c>
      <c r="M10" s="4">
        <f>VDB($B$21,$B$22,$B$23,A10,A12)</f>
        <v>1152</v>
      </c>
    </row>
    <row r="11" spans="1:13" x14ac:dyDescent="0.35">
      <c r="A11">
        <v>3</v>
      </c>
      <c r="B11" s="4">
        <f>SLN($B$21,$B$22,$B$23)</f>
        <v>900</v>
      </c>
      <c r="D11" s="4">
        <f>SYD($B$21,$B$22,$B$23,A11)</f>
        <v>900</v>
      </c>
      <c r="G11" s="4">
        <f>DB($B$21,$B$22,$B$23,A11)</f>
        <v>734.60704499999997</v>
      </c>
      <c r="J11" s="4">
        <f>DDB($B$21,$B$22,$B$23,A11,2)</f>
        <v>720</v>
      </c>
      <c r="M11" s="4">
        <f>VDB($B$21,$B$22,$B$23,A11,A13)</f>
        <v>580</v>
      </c>
    </row>
    <row r="12" spans="1:13" x14ac:dyDescent="0.35">
      <c r="A12">
        <v>4</v>
      </c>
      <c r="B12" s="4">
        <f>SLN($B$21,$B$22,$B$23)</f>
        <v>900</v>
      </c>
      <c r="D12" s="4">
        <f>SYD($B$21,$B$22,$B$23,A12)</f>
        <v>600</v>
      </c>
      <c r="G12" s="4">
        <f>DB($B$21,$B$22,$B$23,A12)</f>
        <v>463.53704539500001</v>
      </c>
      <c r="J12" s="4">
        <f>DDB($B$21,$B$22,$B$23,A12,2)</f>
        <v>432</v>
      </c>
      <c r="M12" s="4" t="e">
        <f>VDB($B$21,$B$22,$B$23,A12,A14)</f>
        <v>#NUM!</v>
      </c>
    </row>
    <row r="13" spans="1:13" x14ac:dyDescent="0.35">
      <c r="A13">
        <v>5</v>
      </c>
      <c r="B13" s="4">
        <f>SLN($B$21,$B$22,$B$23)</f>
        <v>900</v>
      </c>
      <c r="D13" s="4">
        <f>SYD($B$21,$B$22,$B$23,A13)</f>
        <v>300</v>
      </c>
      <c r="G13" s="4">
        <f>DB($B$21,$B$22,$B$23,A13)</f>
        <v>292.49187564424506</v>
      </c>
      <c r="J13" s="4">
        <f>DDB($B$21,$B$22,$B$23,A13,2)</f>
        <v>148</v>
      </c>
      <c r="M13" s="4" t="e">
        <f>VDB($B$21,$B$22,$B$23,A13,A15)</f>
        <v>#NUM!</v>
      </c>
    </row>
    <row r="16" spans="1:13" x14ac:dyDescent="0.35">
      <c r="E16" s="2" t="s">
        <v>1</v>
      </c>
      <c r="F16" s="2" t="s">
        <v>2</v>
      </c>
      <c r="G16" s="2" t="s">
        <v>3</v>
      </c>
    </row>
    <row r="17" spans="1:15" x14ac:dyDescent="0.35">
      <c r="E17" s="3">
        <v>5000</v>
      </c>
      <c r="F17" s="3">
        <v>500</v>
      </c>
      <c r="G17" s="3">
        <v>5</v>
      </c>
    </row>
    <row r="19" spans="1:15" x14ac:dyDescent="0.35">
      <c r="A19" s="1" t="s">
        <v>0</v>
      </c>
    </row>
    <row r="21" spans="1:15" x14ac:dyDescent="0.35">
      <c r="A21" s="2" t="s">
        <v>1</v>
      </c>
      <c r="B21" s="3">
        <v>5000</v>
      </c>
    </row>
    <row r="22" spans="1:15" x14ac:dyDescent="0.35">
      <c r="A22" s="2" t="s">
        <v>2</v>
      </c>
      <c r="B22" s="3">
        <v>500</v>
      </c>
    </row>
    <row r="23" spans="1:15" x14ac:dyDescent="0.35">
      <c r="A23" s="2" t="s">
        <v>3</v>
      </c>
      <c r="B23" s="3">
        <v>5</v>
      </c>
    </row>
    <row r="27" spans="1:15" x14ac:dyDescent="0.35">
      <c r="A27" s="1" t="s">
        <v>9</v>
      </c>
      <c r="B27" s="1" t="s">
        <v>4</v>
      </c>
      <c r="E27" s="1" t="s">
        <v>5</v>
      </c>
      <c r="H27" s="1" t="s">
        <v>6</v>
      </c>
      <c r="K27" s="1" t="s">
        <v>7</v>
      </c>
      <c r="N27" s="1" t="s">
        <v>8</v>
      </c>
    </row>
    <row r="28" spans="1:15" x14ac:dyDescent="0.35">
      <c r="A28">
        <v>1</v>
      </c>
      <c r="C28" s="4">
        <f>SLN($B$21,$B$22,$B$23)</f>
        <v>900</v>
      </c>
      <c r="F28" s="4">
        <f>SYD($B$21,$B$22,$B$23,A28)</f>
        <v>1500</v>
      </c>
      <c r="I28" s="4">
        <f>DB($B$21,$B$22,$B$23,A28)</f>
        <v>1845</v>
      </c>
      <c r="L28" s="4">
        <f>DDB($B$21,$B$22,$B$23,A28)</f>
        <v>2000</v>
      </c>
      <c r="O28" s="4">
        <f>VDB($B$21,$B$22,$B$23,A28,A30)</f>
        <v>1920</v>
      </c>
    </row>
    <row r="29" spans="1:15" x14ac:dyDescent="0.35">
      <c r="A29">
        <v>2</v>
      </c>
      <c r="C29" s="4">
        <f t="shared" ref="C29:C32" si="0">SLN($B$21,$B$22,$B$23)</f>
        <v>900</v>
      </c>
      <c r="F29" s="4">
        <f t="shared" ref="F29:F32" si="1">SYD($B$21,$B$22,$B$23,A29)</f>
        <v>1200</v>
      </c>
      <c r="I29" s="4">
        <f t="shared" ref="I29:I32" si="2">DB($B$21,$B$22,$B$23,A29)</f>
        <v>1164.1949999999999</v>
      </c>
      <c r="L29" s="4">
        <f t="shared" ref="L29:L32" si="3">DDB($B$21,$B$22,$B$23,A29)</f>
        <v>1200</v>
      </c>
      <c r="O29" s="4">
        <f t="shared" ref="O29:O32" si="4">VDB($B$21,$B$22,$B$23,A29,A31)</f>
        <v>1152</v>
      </c>
    </row>
    <row r="30" spans="1:15" x14ac:dyDescent="0.35">
      <c r="A30">
        <v>3</v>
      </c>
      <c r="C30" s="4">
        <f t="shared" si="0"/>
        <v>900</v>
      </c>
      <c r="F30" s="4">
        <f t="shared" si="1"/>
        <v>900</v>
      </c>
      <c r="I30" s="4">
        <f t="shared" si="2"/>
        <v>734.60704499999997</v>
      </c>
      <c r="L30" s="4">
        <f t="shared" si="3"/>
        <v>720</v>
      </c>
      <c r="O30" s="4">
        <f t="shared" si="4"/>
        <v>580</v>
      </c>
    </row>
    <row r="31" spans="1:15" x14ac:dyDescent="0.35">
      <c r="A31">
        <v>4</v>
      </c>
      <c r="C31" s="4">
        <f t="shared" si="0"/>
        <v>900</v>
      </c>
      <c r="F31" s="4">
        <f t="shared" si="1"/>
        <v>600</v>
      </c>
      <c r="I31" s="4">
        <f t="shared" si="2"/>
        <v>463.53704539500001</v>
      </c>
      <c r="L31" s="4">
        <f t="shared" si="3"/>
        <v>432</v>
      </c>
      <c r="O31" s="4"/>
    </row>
    <row r="32" spans="1:15" x14ac:dyDescent="0.35">
      <c r="A32">
        <v>5</v>
      </c>
      <c r="C32" s="4">
        <f t="shared" si="0"/>
        <v>900</v>
      </c>
      <c r="F32" s="4">
        <f t="shared" si="1"/>
        <v>300</v>
      </c>
      <c r="I32" s="4">
        <f t="shared" si="2"/>
        <v>292.49187564424506</v>
      </c>
      <c r="L32" s="4">
        <f t="shared" si="3"/>
        <v>148</v>
      </c>
      <c r="O32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Kiruba Nagini Raju</dc:creator>
  <cp:lastModifiedBy>rochanarbhat@gmail.com</cp:lastModifiedBy>
  <dcterms:created xsi:type="dcterms:W3CDTF">2025-10-16T02:11:32Z</dcterms:created>
  <dcterms:modified xsi:type="dcterms:W3CDTF">2025-10-28T11:40:31Z</dcterms:modified>
</cp:coreProperties>
</file>